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northsideio-my.sharepoint.com/personal/moss_thenorthside_io/Documents/Projects/Power BI/2025 Fabric Days/"/>
    </mc:Choice>
  </mc:AlternateContent>
  <xr:revisionPtr revIDLastSave="986" documentId="8_{1B1B0F9E-D5F0-4156-A58C-D0C8B634FDAF}" xr6:coauthVersionLast="47" xr6:coauthVersionMax="47" xr10:uidLastSave="{E1016178-C87F-4A07-9317-27DCDF71B201}"/>
  <bookViews>
    <workbookView xWindow="21495" yWindow="0" windowWidth="21705" windowHeight="17385" xr2:uid="{3E9AD1A0-CEF5-4BAA-A67A-CF8F63554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X5" i="1"/>
  <c r="X8" i="1"/>
  <c r="X9" i="1"/>
  <c r="Y9" i="1"/>
  <c r="Z9" i="1"/>
  <c r="Y8" i="1"/>
  <c r="Z8" i="1"/>
  <c r="X7" i="1"/>
  <c r="Y7" i="1"/>
  <c r="Z7" i="1"/>
  <c r="X6" i="1"/>
  <c r="Y6" i="1"/>
  <c r="Z6" i="1"/>
  <c r="Y5" i="1"/>
  <c r="Z5" i="1"/>
  <c r="X4" i="1"/>
  <c r="Y4" i="1"/>
  <c r="Z4" i="1"/>
  <c r="Z2" i="1"/>
  <c r="Z3" i="1"/>
  <c r="X3" i="1"/>
  <c r="Y3" i="1"/>
  <c r="Y2" i="1"/>
  <c r="X2" i="1"/>
</calcChain>
</file>

<file path=xl/sharedStrings.xml><?xml version="1.0" encoding="utf-8"?>
<sst xmlns="http://schemas.openxmlformats.org/spreadsheetml/2006/main" count="358" uniqueCount="145">
  <si>
    <t>Job ID</t>
  </si>
  <si>
    <t>Company</t>
  </si>
  <si>
    <t>Position</t>
  </si>
  <si>
    <t>Start</t>
  </si>
  <si>
    <t>End</t>
  </si>
  <si>
    <t>Accomplishments</t>
  </si>
  <si>
    <t>Senior Data Analytics &amp; Business Intelligence Analyst</t>
  </si>
  <si>
    <t>Human Resources Systems &amp; Data Analyst</t>
  </si>
  <si>
    <t>Logistics Systems &amp; Data Analyst / SME</t>
  </si>
  <si>
    <t>Process Team Leader</t>
  </si>
  <si>
    <t>Hilton Grand Vacations</t>
  </si>
  <si>
    <t>Idaho National Laboratory</t>
  </si>
  <si>
    <t>Basic American Foods</t>
  </si>
  <si>
    <t>Microsoft Power BI</t>
  </si>
  <si>
    <t>Azure Databricks SQL</t>
  </si>
  <si>
    <t>Data Modeling</t>
  </si>
  <si>
    <t>Semantic Data Modeling</t>
  </si>
  <si>
    <t>https://media.licdn.com/dms/image/v2/C560BAQEoJiwJdZMVpg/company-logo_100_100/company-logo_100_100/0/1631349411639?e=1764201600&amp;v=beta&amp;t=4JHEzA1RuTdHXN09EHQ5gb5BwMApqLhlJIhalLtlHyQ</t>
  </si>
  <si>
    <t>https://media.licdn.com/dms/image/v2/C560BAQFG7ZHiGjMMvQ/company-logo_100_100/company-logo_100_100/0/1630657981076/idaho_national_laboratory_logo?e=1764201600&amp;v=beta&amp;t=cNS_l4tXn6DX5InoiHp6VE2PelbeEkcH8BlwC4bOYuo</t>
  </si>
  <si>
    <t>https://media.licdn.com/dms/image/v2/D4E0BAQGMRhD6elzqGQ/company-logo_100_100/company-logo_100_100/0/1731440212610/hilton_grand_vacations_logo?e=1764201600&amp;v=beta&amp;t=xfRQ5S0MJ6HxKO2itqVm5yuNLIqCniqu_Rgm_MMn5JE</t>
  </si>
  <si>
    <t>Cert ID</t>
  </si>
  <si>
    <t>Image</t>
  </si>
  <si>
    <t>Link</t>
  </si>
  <si>
    <t>Microsoft Certified: Fabric Analytics Engineer Associate (DP-600)</t>
  </si>
  <si>
    <t>https://www.linkedin.com/redir/redirect/?url=https%3A%2F%2Flearn.microsoft.com%2Fapi%2Fcredentials%2Fshare%2Fen-us%2Fthenorthside%2F12470E1E05AE7867%3FsharingId&amp;urlhash=T2Ml&amp;isSdui=true&amp;lipi=urn%3Ali%3Apage%3Ad_flagship3_profile_view_base_certifications_details%3BMhY8FWv8RRSrtza9GorX2w%3D%3D</t>
  </si>
  <si>
    <t>https://www.linkedin.com/redir/redirect/?url=https%3A%2F%2Flearn.microsoft.com%2Fapi%2Fcredentials%2Fshare%2Fen-us%2Fthenorthside%2F303405E4B2D74A6F%3FsharingId&amp;urlhash=ixZI&amp;isSdui=true&amp;lipi=urn%3Ali%3Apage%3Ad_flagship3_profile_view_base_certifications_details%3BMhY8FWv8RRSrtza9GorX2w%3D%3D</t>
  </si>
  <si>
    <t>https://media.licdn.com/dms/image/v2/D560BAQH32RJQCl3dDQ/company-logo_100_100/B56ZYQ0mrGGoAU-/0/1744038948046/microsoft_logo?e=1764201600&amp;v=beta&amp;t=CrqbAIKevnVpiSDpdEd_gSb70M_7VvI3KvsVGUwdJRc</t>
  </si>
  <si>
    <t>Type</t>
  </si>
  <si>
    <t>Technical</t>
  </si>
  <si>
    <t>Domain</t>
  </si>
  <si>
    <t>Hospitality</t>
  </si>
  <si>
    <t>Finance</t>
  </si>
  <si>
    <t>Energy</t>
  </si>
  <si>
    <t>Government</t>
  </si>
  <si>
    <t>Human Resources</t>
  </si>
  <si>
    <t>Years</t>
  </si>
  <si>
    <t>Certification</t>
  </si>
  <si>
    <t>Award</t>
  </si>
  <si>
    <t>Subskills</t>
  </si>
  <si>
    <t>Primary ID</t>
  </si>
  <si>
    <t>Skill</t>
  </si>
  <si>
    <t>BI Tools</t>
  </si>
  <si>
    <t>Microsoft Excel</t>
  </si>
  <si>
    <t>Skill Level</t>
  </si>
  <si>
    <t>SQL</t>
  </si>
  <si>
    <t>Subskill ID</t>
  </si>
  <si>
    <t>Oracle SQL</t>
  </si>
  <si>
    <t>Microsoft SQL Server</t>
  </si>
  <si>
    <t>Manufacturing</t>
  </si>
  <si>
    <t>Logistics</t>
  </si>
  <si>
    <t>Supply Chain</t>
  </si>
  <si>
    <t>Warehousing</t>
  </si>
  <si>
    <t>Information Technology</t>
  </si>
  <si>
    <t>Management</t>
  </si>
  <si>
    <t>Microsoft Fabric</t>
  </si>
  <si>
    <t>Leadership</t>
  </si>
  <si>
    <t>Mentoring/Coaching</t>
  </si>
  <si>
    <t>Cross-Functional Collaboration</t>
  </si>
  <si>
    <t>ERP- IFS</t>
  </si>
  <si>
    <t>Systems Administration</t>
  </si>
  <si>
    <t>HRIS - ADP</t>
  </si>
  <si>
    <t>PMS - Lattice</t>
  </si>
  <si>
    <t>Employee Surveys - Gallup</t>
  </si>
  <si>
    <t>Process Documentation</t>
  </si>
  <si>
    <t>Business Sustainability</t>
  </si>
  <si>
    <t>Environment</t>
  </si>
  <si>
    <t>Remote</t>
  </si>
  <si>
    <t>Hybrid</t>
  </si>
  <si>
    <t>Onsite</t>
  </si>
  <si>
    <t>Agile</t>
  </si>
  <si>
    <t>Azure DevOps</t>
  </si>
  <si>
    <t>Atlassian Jira</t>
  </si>
  <si>
    <t>Domo</t>
  </si>
  <si>
    <t>IBM Cognos</t>
  </si>
  <si>
    <t>HTML</t>
  </si>
  <si>
    <t>Data Visualization</t>
  </si>
  <si>
    <t>KPI/Metrics/Insights Development</t>
  </si>
  <si>
    <t>Python</t>
  </si>
  <si>
    <t>Statistical Analysis</t>
  </si>
  <si>
    <t>UI/UX &amp; Accessibility</t>
  </si>
  <si>
    <t>Design &amp; Analysis</t>
  </si>
  <si>
    <t>Name</t>
  </si>
  <si>
    <t>https://community.fabric.microsoft.com/t5/Data-Stories-Gallery/W-E-B-Du-Bois-Data-Challenge-2025-Week-10/m-p/4640199</t>
  </si>
  <si>
    <t>https://community.fabric.microsoft.com/t5/Power-BI-DataViz-World/Week-4-How-Much-Life-on-Earth-Weighs/m-p/4609588</t>
  </si>
  <si>
    <t>https://app.powerbi.com/view?r=eyJrIjoiNTY1ZWVjY2MtYzZhNS00OTEyLTkxNjktNWQwMTM4OTBmZTNjIiwidCI6IjQ2NTRiNmYxLTBlNDctNDU3OS1hOGExLTAyZmU5ZDk0M2M3YiIsImMiOjl9</t>
  </si>
  <si>
    <t>Date</t>
  </si>
  <si>
    <t>Microsoft Certified: Power BI Data Analyst Associate (PL-300)</t>
  </si>
  <si>
    <t>Microsoft Power Up Program Graduate - Cohort 2021: Adventurer</t>
  </si>
  <si>
    <t>https://www.credly.com/badges/a6962537-5511-4c96-bc74-a6f062f1610e/public_url</t>
  </si>
  <si>
    <t>https://images.credly.com/size/340x340/images/29ce87c0-2972-40ec-96ba-a296aff8f908/blob</t>
  </si>
  <si>
    <t>https://media.licdn.com/dms/image/sync/v2/D5627AQEs5uIEyPHd2Q/articleshare-shrink_160/B56ZYOj3YDHEAk-/0/1744001005415?e=1764439200&amp;v=beta&amp;t=iNLBMNOZdr4AQgcYsm0W0Rt-mNKGoiYOUOlT9xcBDFc</t>
  </si>
  <si>
    <t>https://media.licdn.com/dms/image/v2/D562DAQFJW2VeojAX4A/profile-treasury-image-shrink_160_160/B56ZWv1bYNGoAo-/0/1742411774116?e=1764439200&amp;v=beta&amp;t=pixj5MOKoj1QC_WH9akUPcq8knle_HeUSqooK4y7n7Y</t>
  </si>
  <si>
    <t>https://media.licdn.com/dms/image/v2/D4D2DAQEjCDWDSviykA/profile-treasury-image-shrink_800_800/B4DZXs_2xtH4AY-/0/1743437919273?e=1764442800&amp;v=beta&amp;t=qy1OhXHWSWznUYRSfsT87_8joaxVM5kqnKcOGZRuMG0</t>
  </si>
  <si>
    <t>W.E.B. Dubois Challenge - Week 10: Featured Story</t>
  </si>
  <si>
    <t>Microsoft Power BI DataViz World Championships - Judge's Favorite: Storytelling Standout</t>
  </si>
  <si>
    <t>March Data DNA Challenge - The Storyteller</t>
  </si>
  <si>
    <t>Web Accessibility Workshop</t>
  </si>
  <si>
    <t>https://www.credly.com/badges/6f5288ce-3392-4df3-b534-37999a258cda/linked_in_profile</t>
  </si>
  <si>
    <t>https://images.credly.com/size/340x340/images/691ae2b1-c990-41dd-b8b2-44274e1b42d3/e585a01f-311b-4a0c-bbfb-8dd059399c76.png</t>
  </si>
  <si>
    <t>Data Visualization with Python</t>
  </si>
  <si>
    <t>https://www.credly.com/badges/2989c8e0-349b-4889-9636-7db3bdc86d24/linked_in_profile</t>
  </si>
  <si>
    <t>https://images.credly.com/size/340x340/images/9023f37d-b45d-4479-b7b5-e12046a276fc/dc6d1b9f-6d48-4b9a-b7e2-bc6d1a3aee8b.png</t>
  </si>
  <si>
    <t>Master the Concepts of Data Visualization and Storytelling</t>
  </si>
  <si>
    <t>https://www.linkedin.com/learning/certificates/d1a66182a2c1b9f577dff282c82db7d19d416e42d4c36686dfd0ba65edfbdfd8?lipi=urn%3Ali%3Apage%3Ad_flagship3_profile_view_base_certifications_details%3Bg7VnsFj0QHSBO7U8aqge0Q%3D%3D</t>
  </si>
  <si>
    <t>https://media.licdn.com/dms/image/v2/D5622AQEqwyk3ToS7Vg/feedshare-shrink_1280/feedshare-shrink_1280/0/1697572102620?e=1765411200&amp;v=beta&amp;t=9MvTuMERJZZvEIf8SSV0q6vISj5OgBjZUHnwpOfrLD8</t>
  </si>
  <si>
    <t>The Data Science of Using People Analytics</t>
  </si>
  <si>
    <t>https://www.linkedin.com/learning/certificates/10bc1d7fbde076352ed5a57591dace9ad3c8750970456796f93a13e3c6d913ea?lipi=urn%3Ali%3Apage%3Ad_flagship3_profile_view_base_certifications_details%3Bg7VnsFj0QHSBO7U8aqge0Q%3D%3D</t>
  </si>
  <si>
    <t>https://media.licdn.com/dms/image/v2/C561FAQGjubSSX2JMiQ/feedshare-document-cover-images_1280/feedshare-document-cover-images_1280/0/1675200839869?e=1764442800&amp;v=beta&amp;t=NwtlGQ3guGw7D6SVU9eqOhDBtfsnqoP_8atTofxKtG8</t>
  </si>
  <si>
    <t>https://fmworldcup.com/</t>
  </si>
  <si>
    <t>https://fmworldcup.com/wp-content/uploads/2020/07/fmwc-logo-1.png</t>
  </si>
  <si>
    <t>FMWC Microsoft Excel World Championship - Participant</t>
  </si>
  <si>
    <t>Codecademy Analyze Data with SQL Skill Path</t>
  </si>
  <si>
    <t>https://www.codecademy.com/profiles/thenorthside/certificates/5cafb2d937090210d7df3652</t>
  </si>
  <si>
    <t>https://media.licdn.com/dms/image/v2/D4E0BAQH81kKlXtE0og/company-logo_200_200/company-logo_200_200/0/1720724787444/codecademy_logo?e=1765411200&amp;v=beta&amp;t=58IXw_Ind7ZLh_TaGjTn9UmlYXYj_KrIQsLIJhqCmj4</t>
  </si>
  <si>
    <t>Critical Thinking</t>
  </si>
  <si>
    <t>Emotional Intelligence</t>
  </si>
  <si>
    <t>Ethical Integrity</t>
  </si>
  <si>
    <t>Gen AI Can't Do This</t>
  </si>
  <si>
    <t>Microsoft Power Apps</t>
  </si>
  <si>
    <t>Microsoft Power Automate</t>
  </si>
  <si>
    <t>Microsoft SharePoint</t>
  </si>
  <si>
    <t>• Leadership Excellence: Primary point of contact for Power BI team, managed end-to-end data visualization requests. Mentored team and led trainings.
• Strategic Impact: Partnered cross-functionally to lead development of enterprise Power BI governance, gold layer data, data &amp; team strategy.</t>
  </si>
  <si>
    <t>• Transformed Data Culture: Spearheaded development of the Analytics Product Team (APT). Elevated data credibility, access, and visualization standards. Team of UI/UX design, data, and BI experts.
• Strategic Leadership: Founding and voting member of the Data Analytics Center of Excellence (COE), contributing to strategic initiatives, and development of enterprise KPIs fostering a culture of data-driven excellence.
• Value-added Optimization: Delivered over 100 sustainable solutions, significantly enhancing operational efficiencies and saving many FTEs – Time Billing reports suite, Documents Tracking suite, Jobs Risk Analysis, Finance Contracts suite, FS&amp;S Project Tracking, automation, enterprise templates, process documentation / quick guides, &amp; visualization standards.
• Learning Leader: Regularly conducted weekly open-office hours, monthly Power Platform User Group, informal coaching sessions, INL Mentor, Inclusivity Council, Safety Team, and Engagement Committee.</t>
  </si>
  <si>
    <t>• Innovative Cost Savings: Designed an in-house learning management system (LMS), saving thousands of dollars each year.
• Sustainable Insights: Developed key enterprise reports, enabling visibility, consistency, and ability to make data driven decisions – Turnover Costs, Compensation Analysis, Employee Engagement &amp; listening surveys, New Hire Onboarding, COVID, Training to Product Quality correlations, etc.
• Data Management: Secured and validated sensitive employee data across enterprise systems for data integrity and compliance, including HRIS, LMS, PMS, engagement surveys, insurance platforms, ERP, government, etc.
• Business Process Support: Annual benefits enrollments, union negotiations, compliance audits, government reporting, exit interviews, vendor evaluations, and regular technical skills trainings.</t>
  </si>
  <si>
    <t>• Systems Leadership: Logistics and inventory SME for 3 year ERP (IFS) implementation project. Evaluated, identified efficiency improvements, and created over 50 work instructions (SOPs).
• Report Development and Cost Savings: Designed and deployed over 70 reports and KPIs affecting the business's ability to succeed – Warehouse Utilization, Inventory Shrink, Shipping Analysis, Inventory Turns, At-Risk Inventory, Fulfillment Planning, and more.
• SME Project Management Expertise: Product Change Management, Shelf-Life Management, warehouse reconfigurations, and more.
• Demonstrated Proactive Engagement: Safety Leadership Committee, Hero recognitions, skills mentoring, and MS Teams Champion.</t>
  </si>
  <si>
    <t>• Leading Manager: Hired, trained, evaluated, coached, and terminated team of 50 employees working rotating shifts.
• Raised the Bar: Defined and implemented multiple hiring, training, and safety standards adopted company-wide leading to increased safety ratings, retention, product quality, and operational efficiency.</t>
  </si>
  <si>
    <t>Senior Power BI Developer</t>
  </si>
  <si>
    <t>Semantic/Ontology Documentation</t>
  </si>
  <si>
    <t>Action</t>
  </si>
  <si>
    <t>mailto: jmoss@thenorthside.io</t>
  </si>
  <si>
    <t>https://www.svgrepo.com/show/448234/linkedin.svg</t>
  </si>
  <si>
    <t>https://outlook.office.com/book/BooktimewithJeremy@thenorthside.io/?ismsaljsauthenabled</t>
  </si>
  <si>
    <t>https://www.linkedin.com/in/njeremymoss/</t>
  </si>
  <si>
    <t>https://www.svgrepo.com/show/452062/microsoft.svg</t>
  </si>
  <si>
    <t>https://community.fabric.microsoft.com/t5/user/viewprofilepage/user-id/497225</t>
  </si>
  <si>
    <t>https://www.linkedin.com/in/njeremymoss/details/projects/</t>
  </si>
  <si>
    <t>https://upload.wikimedia.org/wikipedia/commons/thumb/5/59/Microsoft_Office_Bookings_%282024-present%29.svg/330px-Microsoft_Office_Bookings_%282024-present%29.svg.png</t>
  </si>
  <si>
    <t>Index</t>
  </si>
  <si>
    <t>Book time with me</t>
  </si>
  <si>
    <t>Email me</t>
  </si>
  <si>
    <t>Connect on LinkedIn</t>
  </si>
  <si>
    <t>Connect on Fabric Community</t>
  </si>
  <si>
    <t>See some of my projects</t>
  </si>
  <si>
    <t>https://www.svgrepo.com/show/207026/portfolio.svg</t>
  </si>
  <si>
    <t>https://www.svgrepo.com/show/421616/email-mail-web.svg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</si>
</sst>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2" xfId="0" applyFont="1" applyBorder="1"/>
    <xf numFmtId="49" fontId="0" fillId="2" borderId="2" xfId="0" applyNumberFormat="1" applyFill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/>
    <xf numFmtId="0" fontId="1" fillId="0" borderId="0" xfId="0" applyFont="1"/>
    <xf numFmtId="49" fontId="0" fillId="2" borderId="0" xfId="0" applyNumberFormat="1" applyFill="1" applyAlignment="1">
      <alignment vertical="top" wrapText="1"/>
    </xf>
    <xf numFmtId="49" fontId="0" fillId="2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2" borderId="1" xfId="0" applyNumberFormat="1" applyFill="1" applyBorder="1" applyAlignment="1">
      <alignment wrapText="1"/>
    </xf>
    <xf numFmtId="0" fontId="0" fillId="3" borderId="0" xfId="0" applyFill="1"/>
    <xf numFmtId="49" fontId="2" fillId="0" borderId="0" xfId="1" applyNumberFormat="1"/>
    <xf numFmtId="0" fontId="2" fillId="0" borderId="0" xfId="1"/>
  </cellXfs>
  <cellStyles count="2">
    <cellStyle name="Hyperlink" xfId="1" builtinId="8"/>
    <cellStyle name="Normal" xfId="0" builtinId="0"/>
  </cellStyles>
  <dxfs count="8"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mm/dd/yyyy"/>
    </dxf>
    <dxf>
      <numFmt numFmtId="30" formatCode="@"/>
    </dxf>
    <dxf>
      <numFmt numFmtId="30" formatCode="@"/>
    </dxf>
    <dxf>
      <numFmt numFmtId="30" formatCode="@"/>
    </dxf>
    <dxf>
      <numFmt numFmtId="164" formatCode="0.0"/>
    </dxf>
  </dxfs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95849-0511-4205-98F8-FD113DC5605A}" name="Jobs" displayName="Jobs" ref="A1:I6" totalsRowShown="0">
  <autoFilter ref="A1:I6" xr:uid="{F4495849-0511-4205-98F8-FD113DC5605A}"/>
  <tableColumns count="9">
    <tableColumn id="1" xr3:uid="{1497E0BD-A41C-492B-AE41-00051E8C8F41}" name="Job ID"/>
    <tableColumn id="2" xr3:uid="{C6C3083F-4AF1-47E9-9186-7B9A45D9A1EA}" name="Position"/>
    <tableColumn id="3" xr3:uid="{022830AB-B2CB-4C26-8A4F-57C65E1C5898}" name="Company"/>
    <tableColumn id="4" xr3:uid="{F72A9F67-BB02-4B69-8B29-A7D61093E7D4}" name="Start"/>
    <tableColumn id="5" xr3:uid="{42EC6974-69E6-4DF2-A1A6-B1DD75FAEEE7}" name="End"/>
    <tableColumn id="7" xr3:uid="{C93E7D1A-E09C-46AB-8C04-FEF7279A0CF0}" name="Years" dataDxfId="7">
      <calculatedColumnFormula>YEARFRAC(Jobs[[#This Row],[Start]],Jobs[[#This Row],[End]])</calculatedColumnFormula>
    </tableColumn>
    <tableColumn id="6" xr3:uid="{5D25A2B9-B6DD-4AA1-AADC-B18E5232F589}" name="Image" dataDxfId="6"/>
    <tableColumn id="8" xr3:uid="{2237B1D4-D25F-4C86-A24C-5AE3EC38F2C5}" name="Accomplishments"/>
    <tableColumn id="9" xr3:uid="{98D3FC97-2683-4FB2-8617-65EE0CD890AE}" name="Environm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223217-DDD5-4594-800F-40E98D4ECA70}" name="Subskills" displayName="Subskills" ref="L1:S101" totalsRowShown="0">
  <autoFilter ref="L1:S101" xr:uid="{2D223217-DDD5-4594-800F-40E98D4ECA70}"/>
  <tableColumns count="8">
    <tableColumn id="6" xr3:uid="{C1E2F4B2-A1E1-486A-85C7-F11EE79ED9A1}" name="Subskill ID"/>
    <tableColumn id="1" xr3:uid="{26CF119F-EA78-451B-81DF-3A4F8096C1C8}" name="Subskills"/>
    <tableColumn id="2" xr3:uid="{EF17CC0A-3A8A-451D-AD32-1CEC4266AFA2}" name="Job ID"/>
    <tableColumn id="3" xr3:uid="{1A164B3F-A809-4808-88D1-08ECCBF6A13D}" name="Cert ID"/>
    <tableColumn id="4" xr3:uid="{6AEF0047-E564-44C1-820A-0D2975F45AB2}" name="Type"/>
    <tableColumn id="5" xr3:uid="{B35346B4-747E-4517-A39F-3E90F9EE3695}" name="Years"/>
    <tableColumn id="7" xr3:uid="{10FD6EFC-16E1-425B-8A8E-12A20E946FFF}" name="Primary ID"/>
    <tableColumn id="8" xr3:uid="{F41E8C1C-9987-4CDC-8141-959EB53C797D}" name="Skill Leve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A968-19DD-4024-9D91-3EEAC2893DD8}" name="Certifications" displayName="Certifications" ref="AC1:AH13" totalsRowShown="0">
  <autoFilter ref="AC1:AH13" xr:uid="{AE61A968-19DD-4024-9D91-3EEAC2893DD8}"/>
  <tableColumns count="6">
    <tableColumn id="1" xr3:uid="{108C567D-A45A-4A66-A162-230684FB7953}" name="Cert ID"/>
    <tableColumn id="2" xr3:uid="{DCC28FDD-92F4-4799-91A4-031A85158AF9}" name="Name" dataDxfId="5"/>
    <tableColumn id="3" xr3:uid="{E4BF2685-60AD-4B3A-A5C1-6C7D558AC22E}" name="Link" dataDxfId="4"/>
    <tableColumn id="4" xr3:uid="{DE9ABA15-813D-4D56-B415-3E2850EF256D}" name="Image"/>
    <tableColumn id="5" xr3:uid="{EE37E8B4-6524-48D4-A53B-6704D763F1B6}" name="Type"/>
    <tableColumn id="6" xr3:uid="{A2A7CB93-436A-4DF6-9DE5-07D7FBCEEB70}" name="Date" dataDxfId="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AE82CA-8235-4773-9113-A3B4E91523AC}" name="Domains" displayName="Domains" ref="AK1:AM28" totalsRowShown="0">
  <autoFilter ref="AK1:AM28" xr:uid="{2AAE82CA-8235-4773-9113-A3B4E91523AC}"/>
  <tableColumns count="3">
    <tableColumn id="1" xr3:uid="{E498A786-9618-4AB2-A3CF-F38D109CDDA6}" name="Domain"/>
    <tableColumn id="2" xr3:uid="{8F1ED776-BFBF-422D-9756-F28CA67BF975}" name="Job ID"/>
    <tableColumn id="3" xr3:uid="{6B856136-E328-4A99-B7D6-D6F7CAA7B138}" name="Year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C4532F-7422-4583-A387-DC9ECAB8BCDF}" name="Skills" displayName="Skills" ref="V1:Z9" totalsRowShown="0">
  <autoFilter ref="V1:Z9" xr:uid="{2AC4532F-7422-4583-A387-DC9ECAB8BCDF}"/>
  <tableColumns count="5">
    <tableColumn id="1" xr3:uid="{0A3F701C-F89E-42A1-8670-2C9E9EF65106}" name="Primary ID" dataDxfId="2"/>
    <tableColumn id="2" xr3:uid="{DDB13A6D-D52B-45B5-9A19-35B62D0B850E}" name="Skill" dataDxfId="1"/>
    <tableColumn id="3" xr3:uid="{AF40F359-8C59-4BB2-B503-7BCE2EA79004}" name="Type">
      <calculatedColumnFormula>_xlfn.XLOOKUP(Skills[[#This Row],[Primary ID]], Subskills[Primary ID], Subskills[Type])</calculatedColumnFormula>
    </tableColumn>
    <tableColumn id="4" xr3:uid="{2FB0A319-2BB5-45AA-B94D-05538BD84EEC}" name="Skill Level">
      <calculatedColumnFormula>_xlfn.MAXIFS( Subskills[Skill Level], Subskills[Primary ID], Skills[[#This Row],[Primary ID]])</calculatedColumnFormula>
    </tableColumn>
    <tableColumn id="5" xr3:uid="{0134971C-9576-4211-B23B-CAC81A576A8B}" name="Years" dataDxfId="0">
      <calculatedColumnFormula>_xlfn.MAXIFS( Subskills[Years], Subskills[Primary ID], Skills[[#This Row],[Primary ID]])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E532D9-12F8-40F8-B5E6-B5CA6502333B}" name="ConnectLinks1" displayName="ConnectLinks1" ref="AO1:AR6" totalsRowShown="0">
  <autoFilter ref="AO1:AR6" xr:uid="{68E532D9-12F8-40F8-B5E6-B5CA6502333B}"/>
  <tableColumns count="4">
    <tableColumn id="1" xr3:uid="{9D530D8E-C6DA-48C5-BF2B-475AA2C4FDE5}" name="Action"/>
    <tableColumn id="2" xr3:uid="{9D04C3F6-7E6D-42E5-B08F-99E1206C8787}" name="Link" dataCellStyle="Hyperlink"/>
    <tableColumn id="3" xr3:uid="{74262DCB-BEFC-4B75-9B7E-02DF61384AA2}" name="Image" dataCellStyle="Hyperlink"/>
    <tableColumn id="4" xr3:uid="{EB0DB081-B73B-49CD-9305-0A9320B88A1C}" name="Inde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vgrepo.com/show/452062/microsoft.svg" TargetMode="External"/><Relationship Id="rId13" Type="http://schemas.openxmlformats.org/officeDocument/2006/relationships/table" Target="../tables/table3.xml"/><Relationship Id="rId3" Type="http://schemas.openxmlformats.org/officeDocument/2006/relationships/hyperlink" Target="https://images.credly.com/size/340x340/images/29ce87c0-2972-40ec-96ba-a296aff8f908/blob" TargetMode="External"/><Relationship Id="rId7" Type="http://schemas.openxmlformats.org/officeDocument/2006/relationships/hyperlink" Target="https://www.svgrepo.com/show/448234/linkedin.svg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community.fabric.microsoft.com/t5/Power-BI-DataViz-World/Week-4-How-Much-Life-on-Earth-Weighs/m-p/4609588" TargetMode="External"/><Relationship Id="rId16" Type="http://schemas.openxmlformats.org/officeDocument/2006/relationships/table" Target="../tables/table6.xml"/><Relationship Id="rId1" Type="http://schemas.openxmlformats.org/officeDocument/2006/relationships/hyperlink" Target="https://community.fabric.microsoft.com/t5/Data-Stories-Gallery/W-E-B-Du-Bois-Data-Challenge-2025-Week-10/m-p/4640199" TargetMode="External"/><Relationship Id="rId6" Type="http://schemas.openxmlformats.org/officeDocument/2006/relationships/hyperlink" Target="https://outlook.office.com/book/BooktimewithJeremy@thenorthside.io/?ismsaljsauthenabled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fmworldcup.com/wp-content/uploads/2020/07/fmwc-logo-1.png" TargetMode="External"/><Relationship Id="rId15" Type="http://schemas.openxmlformats.org/officeDocument/2006/relationships/table" Target="../tables/table5.xml"/><Relationship Id="rId10" Type="http://schemas.openxmlformats.org/officeDocument/2006/relationships/hyperlink" Target="https://www.linkedin.com/in/njeremymoss/details/projects/" TargetMode="External"/><Relationship Id="rId4" Type="http://schemas.openxmlformats.org/officeDocument/2006/relationships/hyperlink" Target="https://media.licdn.com/dms/image/v2/D4D2DAQEjCDWDSviykA/profile-treasury-image-shrink_800_800/B4DZXs_2xtH4AY-/0/1743437919273?e=1764442800&amp;v=beta&amp;t=qy1OhXHWSWznUYRSfsT87_8joaxVM5kqnKcOGZRuMG0" TargetMode="External"/><Relationship Id="rId9" Type="http://schemas.openxmlformats.org/officeDocument/2006/relationships/hyperlink" Target="https://community.fabric.microsoft.com/t5/user/viewprofilepage/user-id/497225" TargetMode="External"/><Relationship Id="rId1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AE6D-738D-4D0C-838C-419E2F1B6C03}">
  <dimension ref="A1:AR101"/>
  <sheetViews>
    <sheetView showGridLines="0" tabSelected="1" topLeftCell="AJ1" workbookViewId="0">
      <selection activeCell="AQ4" sqref="AQ4"/>
    </sheetView>
  </sheetViews>
  <sheetFormatPr defaultRowHeight="15" x14ac:dyDescent="0.25"/>
  <cols>
    <col min="2" max="2" width="24.7109375" customWidth="1"/>
    <col min="3" max="3" width="11.7109375" customWidth="1"/>
    <col min="4" max="5" width="10.42578125" bestFit="1" customWidth="1"/>
    <col min="6" max="7" width="10.42578125" customWidth="1"/>
    <col min="8" max="9" width="26.140625" customWidth="1"/>
    <col min="10" max="11" width="2.85546875" customWidth="1"/>
    <col min="12" max="12" width="10.85546875" customWidth="1"/>
    <col min="13" max="13" width="29.28515625" bestFit="1" customWidth="1"/>
    <col min="16" max="19" width="13.85546875" customWidth="1"/>
    <col min="20" max="21" width="2.85546875" customWidth="1"/>
    <col min="22" max="22" width="13.42578125" customWidth="1"/>
    <col min="23" max="23" width="23.140625" customWidth="1"/>
    <col min="24" max="26" width="13.85546875" customWidth="1"/>
    <col min="27" max="28" width="2.85546875" customWidth="1"/>
    <col min="30" max="30" width="42.42578125" customWidth="1"/>
    <col min="31" max="31" width="19.140625" customWidth="1"/>
    <col min="32" max="34" width="20.85546875" customWidth="1"/>
    <col min="35" max="36" width="2.85546875" customWidth="1"/>
    <col min="37" max="37" width="17.28515625" bestFit="1" customWidth="1"/>
    <col min="41" max="41" width="30.28515625" customWidth="1"/>
    <col min="42" max="42" width="33.140625" customWidth="1"/>
  </cols>
  <sheetData>
    <row r="1" spans="1:44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35</v>
      </c>
      <c r="G1" t="s">
        <v>21</v>
      </c>
      <c r="H1" s="4" t="s">
        <v>5</v>
      </c>
      <c r="I1" s="8" t="s">
        <v>65</v>
      </c>
      <c r="L1" t="s">
        <v>45</v>
      </c>
      <c r="M1" t="s">
        <v>38</v>
      </c>
      <c r="N1" t="s">
        <v>0</v>
      </c>
      <c r="O1" t="s">
        <v>20</v>
      </c>
      <c r="P1" t="s">
        <v>27</v>
      </c>
      <c r="Q1" t="s">
        <v>35</v>
      </c>
      <c r="R1" t="s">
        <v>39</v>
      </c>
      <c r="S1" t="s">
        <v>43</v>
      </c>
      <c r="V1" s="13" t="s">
        <v>39</v>
      </c>
      <c r="W1" s="13" t="s">
        <v>40</v>
      </c>
      <c r="X1" t="s">
        <v>27</v>
      </c>
      <c r="Y1" t="s">
        <v>43</v>
      </c>
      <c r="Z1" t="s">
        <v>35</v>
      </c>
      <c r="AC1" t="s">
        <v>20</v>
      </c>
      <c r="AD1" t="s">
        <v>81</v>
      </c>
      <c r="AE1" t="s">
        <v>22</v>
      </c>
      <c r="AF1" t="s">
        <v>21</v>
      </c>
      <c r="AG1" t="s">
        <v>27</v>
      </c>
      <c r="AH1" t="s">
        <v>85</v>
      </c>
      <c r="AK1" t="s">
        <v>29</v>
      </c>
      <c r="AL1" t="s">
        <v>0</v>
      </c>
      <c r="AM1" t="s">
        <v>35</v>
      </c>
      <c r="AO1" t="s">
        <v>128</v>
      </c>
      <c r="AP1" t="s">
        <v>22</v>
      </c>
      <c r="AQ1" t="s">
        <v>21</v>
      </c>
      <c r="AR1" t="s">
        <v>137</v>
      </c>
    </row>
    <row r="2" spans="1:44" ht="16.5" customHeight="1" x14ac:dyDescent="0.25">
      <c r="A2">
        <v>1</v>
      </c>
      <c r="B2" t="s">
        <v>126</v>
      </c>
      <c r="C2" t="s">
        <v>10</v>
      </c>
      <c r="D2" s="1">
        <v>45809</v>
      </c>
      <c r="E2" s="1">
        <v>46023</v>
      </c>
      <c r="F2" s="3">
        <f>YEARFRAC(Jobs[[#This Row],[Start]],Jobs[[#This Row],[End]])</f>
        <v>0.58333333333333337</v>
      </c>
      <c r="G2" s="2" t="s">
        <v>19</v>
      </c>
      <c r="H2" s="5" t="s">
        <v>121</v>
      </c>
      <c r="I2" s="9" t="s">
        <v>66</v>
      </c>
      <c r="L2">
        <v>1</v>
      </c>
      <c r="M2" t="s">
        <v>13</v>
      </c>
      <c r="N2">
        <v>1</v>
      </c>
      <c r="O2">
        <v>1</v>
      </c>
      <c r="P2" t="s">
        <v>28</v>
      </c>
      <c r="Q2">
        <v>10</v>
      </c>
      <c r="R2">
        <v>1</v>
      </c>
      <c r="S2">
        <v>5</v>
      </c>
      <c r="V2" s="13">
        <v>1</v>
      </c>
      <c r="W2" s="13" t="s">
        <v>41</v>
      </c>
      <c r="X2" t="str">
        <f>_xlfn.XLOOKUP(Skills[[#This Row],[Primary ID]], Subskills[Primary ID], Subskills[Type])</f>
        <v>Technical</v>
      </c>
      <c r="Y2">
        <f>_xlfn.MAXIFS( Subskills[Skill Level], Subskills[Primary ID], Skills[[#This Row],[Primary ID]])</f>
        <v>5</v>
      </c>
      <c r="Z2">
        <f>_xlfn.MAXIFS( Subskills[Years], Subskills[Primary ID], Skills[[#This Row],[Primary ID]])</f>
        <v>25</v>
      </c>
      <c r="AC2">
        <v>1</v>
      </c>
      <c r="AD2" s="2" t="s">
        <v>23</v>
      </c>
      <c r="AE2" s="2" t="s">
        <v>24</v>
      </c>
      <c r="AF2" t="s">
        <v>26</v>
      </c>
      <c r="AG2" t="s">
        <v>36</v>
      </c>
      <c r="AH2" s="1">
        <v>45352</v>
      </c>
      <c r="AK2" t="s">
        <v>30</v>
      </c>
      <c r="AL2">
        <v>1</v>
      </c>
      <c r="AM2">
        <v>1</v>
      </c>
      <c r="AO2" t="s">
        <v>138</v>
      </c>
      <c r="AP2" s="15" t="s">
        <v>131</v>
      </c>
      <c r="AQ2" s="15" t="s">
        <v>136</v>
      </c>
      <c r="AR2">
        <v>1</v>
      </c>
    </row>
    <row r="3" spans="1:44" ht="29.25" customHeight="1" x14ac:dyDescent="0.25">
      <c r="A3">
        <v>2</v>
      </c>
      <c r="B3" t="s">
        <v>6</v>
      </c>
      <c r="C3" t="s">
        <v>11</v>
      </c>
      <c r="D3" s="1">
        <v>44958</v>
      </c>
      <c r="E3" s="1">
        <v>45809</v>
      </c>
      <c r="F3" s="3">
        <f>YEARFRAC(Jobs[[#This Row],[Start]],Jobs[[#This Row],[End]])</f>
        <v>2.3333333333333335</v>
      </c>
      <c r="G3" s="2" t="s">
        <v>18</v>
      </c>
      <c r="H3" s="6" t="s">
        <v>122</v>
      </c>
      <c r="I3" s="6" t="s">
        <v>67</v>
      </c>
      <c r="L3">
        <v>1</v>
      </c>
      <c r="M3" t="s">
        <v>13</v>
      </c>
      <c r="N3">
        <v>2</v>
      </c>
      <c r="O3">
        <v>2</v>
      </c>
      <c r="P3" t="s">
        <v>28</v>
      </c>
      <c r="Q3">
        <v>10</v>
      </c>
      <c r="R3">
        <v>1</v>
      </c>
      <c r="S3">
        <v>5</v>
      </c>
      <c r="V3" s="13">
        <v>2</v>
      </c>
      <c r="W3" s="13" t="s">
        <v>44</v>
      </c>
      <c r="X3" t="str">
        <f>_xlfn.XLOOKUP(Skills[[#This Row],[Primary ID]], Subskills[Primary ID], Subskills[Type])</f>
        <v>Technical</v>
      </c>
      <c r="Y3">
        <f>_xlfn.MAXIFS( Subskills[Skill Level], Subskills[Primary ID], Skills[[#This Row],[Primary ID]])</f>
        <v>5</v>
      </c>
      <c r="Z3">
        <f>_xlfn.MAXIFS( Subskills[Years], Subskills[Primary ID], Skills[[#This Row],[Primary ID]])</f>
        <v>10</v>
      </c>
      <c r="AC3">
        <v>2</v>
      </c>
      <c r="AD3" s="2" t="s">
        <v>86</v>
      </c>
      <c r="AE3" s="2" t="s">
        <v>25</v>
      </c>
      <c r="AF3" t="s">
        <v>26</v>
      </c>
      <c r="AG3" t="s">
        <v>36</v>
      </c>
      <c r="AH3" s="1">
        <v>45292</v>
      </c>
      <c r="AK3" t="s">
        <v>31</v>
      </c>
      <c r="AL3">
        <v>2</v>
      </c>
      <c r="AM3">
        <v>15</v>
      </c>
      <c r="AO3" t="s">
        <v>139</v>
      </c>
      <c r="AP3" t="s">
        <v>129</v>
      </c>
      <c r="AQ3" s="15" t="s">
        <v>144</v>
      </c>
      <c r="AR3">
        <v>2</v>
      </c>
    </row>
    <row r="4" spans="1:44" ht="24" customHeight="1" x14ac:dyDescent="0.25">
      <c r="A4">
        <v>3</v>
      </c>
      <c r="B4" t="s">
        <v>7</v>
      </c>
      <c r="C4" t="s">
        <v>12</v>
      </c>
      <c r="D4" s="1">
        <v>44105</v>
      </c>
      <c r="E4" s="1">
        <v>44865</v>
      </c>
      <c r="F4" s="3">
        <f>YEARFRAC(Jobs[[#This Row],[Start]],Jobs[[#This Row],[End]])</f>
        <v>2.0833333333333335</v>
      </c>
      <c r="G4" s="2" t="s">
        <v>17</v>
      </c>
      <c r="H4" s="10" t="s">
        <v>123</v>
      </c>
      <c r="I4" s="7" t="s">
        <v>66</v>
      </c>
      <c r="L4">
        <v>1</v>
      </c>
      <c r="M4" t="s">
        <v>13</v>
      </c>
      <c r="N4">
        <v>3</v>
      </c>
      <c r="P4" t="s">
        <v>28</v>
      </c>
      <c r="Q4">
        <v>10</v>
      </c>
      <c r="R4">
        <v>1</v>
      </c>
      <c r="S4">
        <v>5</v>
      </c>
      <c r="V4" s="13">
        <v>3</v>
      </c>
      <c r="W4" s="13" t="s">
        <v>15</v>
      </c>
      <c r="X4" t="str">
        <f>_xlfn.XLOOKUP(Skills[[#This Row],[Primary ID]], Subskills[Primary ID], Subskills[Type])</f>
        <v>Technical</v>
      </c>
      <c r="Y4">
        <f>_xlfn.MAXIFS( Subskills[Skill Level], Subskills[Primary ID], Skills[[#This Row],[Primary ID]])</f>
        <v>5</v>
      </c>
      <c r="Z4">
        <f>_xlfn.MAXIFS( Subskills[Years], Subskills[Primary ID], Skills[[#This Row],[Primary ID]])</f>
        <v>10</v>
      </c>
      <c r="AC4">
        <v>3</v>
      </c>
      <c r="AD4" s="2" t="s">
        <v>93</v>
      </c>
      <c r="AE4" s="14" t="s">
        <v>82</v>
      </c>
      <c r="AF4" t="s">
        <v>90</v>
      </c>
      <c r="AG4" t="s">
        <v>37</v>
      </c>
      <c r="AH4" s="1">
        <v>45778</v>
      </c>
      <c r="AK4" t="s">
        <v>32</v>
      </c>
      <c r="AL4">
        <v>2</v>
      </c>
      <c r="AM4">
        <v>2</v>
      </c>
      <c r="AO4" t="s">
        <v>140</v>
      </c>
      <c r="AP4" s="15" t="s">
        <v>132</v>
      </c>
      <c r="AQ4" s="15" t="s">
        <v>130</v>
      </c>
      <c r="AR4">
        <v>3</v>
      </c>
    </row>
    <row r="5" spans="1:44" ht="24" customHeight="1" x14ac:dyDescent="0.25">
      <c r="A5">
        <v>4</v>
      </c>
      <c r="B5" t="s">
        <v>8</v>
      </c>
      <c r="C5" t="s">
        <v>12</v>
      </c>
      <c r="D5" s="1">
        <v>42309</v>
      </c>
      <c r="E5" s="1">
        <v>44105</v>
      </c>
      <c r="F5" s="3">
        <f>YEARFRAC(Jobs[[#This Row],[Start]],Jobs[[#This Row],[End]])</f>
        <v>4.916666666666667</v>
      </c>
      <c r="G5" s="2" t="s">
        <v>17</v>
      </c>
      <c r="H5" s="11" t="s">
        <v>124</v>
      </c>
      <c r="I5" s="2" t="s">
        <v>67</v>
      </c>
      <c r="L5">
        <v>1</v>
      </c>
      <c r="M5" t="s">
        <v>13</v>
      </c>
      <c r="N5">
        <v>4</v>
      </c>
      <c r="P5" t="s">
        <v>28</v>
      </c>
      <c r="Q5">
        <v>10</v>
      </c>
      <c r="R5">
        <v>1</v>
      </c>
      <c r="S5">
        <v>5</v>
      </c>
      <c r="V5" s="13">
        <v>4</v>
      </c>
      <c r="W5" s="13" t="s">
        <v>55</v>
      </c>
      <c r="X5" t="str">
        <f>_xlfn.XLOOKUP(Skills[[#This Row],[Primary ID]], Subskills[Primary ID], Subskills[Type])</f>
        <v>Gen AI Can't Do This</v>
      </c>
      <c r="Y5">
        <f>_xlfn.MAXIFS( Subskills[Skill Level], Subskills[Primary ID], Skills[[#This Row],[Primary ID]])</f>
        <v>4</v>
      </c>
      <c r="Z5">
        <f>_xlfn.MAXIFS( Subskills[Years], Subskills[Primary ID], Skills[[#This Row],[Primary ID]])</f>
        <v>20</v>
      </c>
      <c r="AC5">
        <v>4</v>
      </c>
      <c r="AD5" s="2" t="s">
        <v>94</v>
      </c>
      <c r="AE5" s="14" t="s">
        <v>83</v>
      </c>
      <c r="AF5" t="s">
        <v>91</v>
      </c>
      <c r="AG5" t="s">
        <v>37</v>
      </c>
      <c r="AH5" s="1">
        <v>45748</v>
      </c>
      <c r="AK5" t="s">
        <v>33</v>
      </c>
      <c r="AL5">
        <v>2</v>
      </c>
      <c r="AM5">
        <v>3</v>
      </c>
      <c r="AO5" t="s">
        <v>141</v>
      </c>
      <c r="AP5" s="15" t="s">
        <v>134</v>
      </c>
      <c r="AQ5" s="15" t="s">
        <v>133</v>
      </c>
      <c r="AR5">
        <v>4</v>
      </c>
    </row>
    <row r="6" spans="1:44" ht="18" customHeight="1" x14ac:dyDescent="0.25">
      <c r="A6">
        <v>5</v>
      </c>
      <c r="B6" t="s">
        <v>9</v>
      </c>
      <c r="C6" t="s">
        <v>12</v>
      </c>
      <c r="D6" s="1">
        <v>40940</v>
      </c>
      <c r="E6" s="1">
        <v>42309</v>
      </c>
      <c r="F6" s="3">
        <f>YEARFRAC(Jobs[[#This Row],[Start]],Jobs[[#This Row],[End]])</f>
        <v>3.75</v>
      </c>
      <c r="G6" s="2" t="s">
        <v>17</v>
      </c>
      <c r="H6" s="12" t="s">
        <v>125</v>
      </c>
      <c r="I6" s="7" t="s">
        <v>68</v>
      </c>
      <c r="L6">
        <v>2</v>
      </c>
      <c r="M6" t="s">
        <v>14</v>
      </c>
      <c r="N6">
        <v>1</v>
      </c>
      <c r="O6">
        <v>1</v>
      </c>
      <c r="P6" t="s">
        <v>28</v>
      </c>
      <c r="Q6">
        <v>3</v>
      </c>
      <c r="R6">
        <v>2</v>
      </c>
      <c r="S6">
        <v>4</v>
      </c>
      <c r="V6" s="13">
        <v>5</v>
      </c>
      <c r="W6" s="13" t="s">
        <v>59</v>
      </c>
      <c r="X6" t="str">
        <f>_xlfn.XLOOKUP(Skills[[#This Row],[Primary ID]], Subskills[Primary ID], Subskills[Type])</f>
        <v>Technical</v>
      </c>
      <c r="Y6">
        <f>_xlfn.MAXIFS( Subskills[Skill Level], Subskills[Primary ID], Skills[[#This Row],[Primary ID]])</f>
        <v>4</v>
      </c>
      <c r="Z6">
        <f>_xlfn.MAXIFS( Subskills[Years], Subskills[Primary ID], Skills[[#This Row],[Primary ID]])</f>
        <v>10</v>
      </c>
      <c r="AC6">
        <v>5</v>
      </c>
      <c r="AD6" s="2" t="s">
        <v>95</v>
      </c>
      <c r="AE6" s="2" t="s">
        <v>84</v>
      </c>
      <c r="AF6" s="15" t="s">
        <v>92</v>
      </c>
      <c r="AG6" t="s">
        <v>37</v>
      </c>
      <c r="AH6" s="1">
        <v>45717</v>
      </c>
      <c r="AK6" t="s">
        <v>34</v>
      </c>
      <c r="AL6">
        <v>2</v>
      </c>
      <c r="AM6">
        <v>5</v>
      </c>
      <c r="AO6" t="s">
        <v>142</v>
      </c>
      <c r="AP6" s="15" t="s">
        <v>135</v>
      </c>
      <c r="AQ6" s="15" t="s">
        <v>143</v>
      </c>
      <c r="AR6">
        <v>5</v>
      </c>
    </row>
    <row r="7" spans="1:44" x14ac:dyDescent="0.25">
      <c r="L7">
        <v>2</v>
      </c>
      <c r="M7" t="s">
        <v>14</v>
      </c>
      <c r="N7">
        <v>2</v>
      </c>
      <c r="O7">
        <v>2</v>
      </c>
      <c r="P7" t="s">
        <v>28</v>
      </c>
      <c r="Q7">
        <v>3</v>
      </c>
      <c r="R7">
        <v>2</v>
      </c>
      <c r="S7">
        <v>4</v>
      </c>
      <c r="V7" s="13">
        <v>6</v>
      </c>
      <c r="W7" s="13" t="s">
        <v>64</v>
      </c>
      <c r="X7" t="str">
        <f>_xlfn.XLOOKUP(Skills[[#This Row],[Primary ID]], Subskills[Primary ID], Subskills[Type])</f>
        <v>Gen AI Can't Do This</v>
      </c>
      <c r="Y7">
        <f>_xlfn.MAXIFS( Subskills[Skill Level], Subskills[Primary ID], Skills[[#This Row],[Primary ID]])</f>
        <v>5</v>
      </c>
      <c r="Z7">
        <f>_xlfn.MAXIFS( Subskills[Years], Subskills[Primary ID], Skills[[#This Row],[Primary ID]])</f>
        <v>40</v>
      </c>
      <c r="AC7">
        <v>6</v>
      </c>
      <c r="AD7" s="2" t="s">
        <v>87</v>
      </c>
      <c r="AE7" s="14" t="s">
        <v>88</v>
      </c>
      <c r="AF7" s="15" t="s">
        <v>89</v>
      </c>
      <c r="AG7" t="s">
        <v>36</v>
      </c>
      <c r="AH7" s="1">
        <v>45839</v>
      </c>
      <c r="AK7" t="s">
        <v>34</v>
      </c>
      <c r="AL7">
        <v>3</v>
      </c>
      <c r="AM7">
        <v>5</v>
      </c>
    </row>
    <row r="8" spans="1:44" x14ac:dyDescent="0.25">
      <c r="L8">
        <v>3</v>
      </c>
      <c r="M8" t="s">
        <v>16</v>
      </c>
      <c r="N8">
        <v>1</v>
      </c>
      <c r="O8">
        <v>1</v>
      </c>
      <c r="P8" t="s">
        <v>28</v>
      </c>
      <c r="Q8">
        <v>10</v>
      </c>
      <c r="R8">
        <v>3</v>
      </c>
      <c r="S8">
        <v>5</v>
      </c>
      <c r="V8" s="13">
        <v>7</v>
      </c>
      <c r="W8" s="13" t="s">
        <v>69</v>
      </c>
      <c r="X8" t="str">
        <f>_xlfn.XLOOKUP(Skills[[#This Row],[Primary ID]], Subskills[Primary ID], Subskills[Type])</f>
        <v>Gen AI Can't Do This</v>
      </c>
      <c r="Y8">
        <f>_xlfn.MAXIFS( Subskills[Skill Level], Subskills[Primary ID], Skills[[#This Row],[Primary ID]])</f>
        <v>3</v>
      </c>
      <c r="Z8">
        <f>_xlfn.MAXIFS( Subskills[Years], Subskills[Primary ID], Skills[[#This Row],[Primary ID]])</f>
        <v>8</v>
      </c>
      <c r="AC8">
        <v>7</v>
      </c>
      <c r="AD8" s="2" t="s">
        <v>96</v>
      </c>
      <c r="AE8" s="2" t="s">
        <v>97</v>
      </c>
      <c r="AF8" t="s">
        <v>98</v>
      </c>
      <c r="AG8" t="s">
        <v>36</v>
      </c>
      <c r="AH8" s="1">
        <v>45597</v>
      </c>
      <c r="AK8" t="s">
        <v>48</v>
      </c>
      <c r="AL8">
        <v>3</v>
      </c>
      <c r="AM8">
        <v>15</v>
      </c>
    </row>
    <row r="9" spans="1:44" x14ac:dyDescent="0.25">
      <c r="L9">
        <v>3</v>
      </c>
      <c r="M9" t="s">
        <v>16</v>
      </c>
      <c r="N9">
        <v>2</v>
      </c>
      <c r="O9">
        <v>2</v>
      </c>
      <c r="P9" t="s">
        <v>28</v>
      </c>
      <c r="Q9">
        <v>10</v>
      </c>
      <c r="R9">
        <v>3</v>
      </c>
      <c r="S9">
        <v>5</v>
      </c>
      <c r="V9" s="13">
        <v>8</v>
      </c>
      <c r="W9" s="13" t="s">
        <v>80</v>
      </c>
      <c r="X9" t="str">
        <f>_xlfn.XLOOKUP(Skills[[#This Row],[Primary ID]], Subskills[Primary ID], Subskills[Type])</f>
        <v>Technical</v>
      </c>
      <c r="Y9">
        <f>_xlfn.MAXIFS( Subskills[Skill Level], Subskills[Primary ID], Skills[[#This Row],[Primary ID]])</f>
        <v>4</v>
      </c>
      <c r="Z9">
        <f>_xlfn.MAXIFS( Subskills[Years], Subskills[Primary ID], Skills[[#This Row],[Primary ID]])</f>
        <v>15</v>
      </c>
      <c r="AC9">
        <v>8</v>
      </c>
      <c r="AD9" s="2" t="s">
        <v>99</v>
      </c>
      <c r="AE9" s="2" t="s">
        <v>100</v>
      </c>
      <c r="AF9" t="s">
        <v>101</v>
      </c>
      <c r="AG9" t="s">
        <v>36</v>
      </c>
      <c r="AH9" s="1">
        <v>45352</v>
      </c>
      <c r="AK9" t="s">
        <v>48</v>
      </c>
      <c r="AL9">
        <v>4</v>
      </c>
      <c r="AM9">
        <v>15</v>
      </c>
    </row>
    <row r="10" spans="1:44" x14ac:dyDescent="0.25">
      <c r="L10">
        <v>3</v>
      </c>
      <c r="M10" t="s">
        <v>16</v>
      </c>
      <c r="N10">
        <v>3</v>
      </c>
      <c r="P10" t="s">
        <v>28</v>
      </c>
      <c r="Q10">
        <v>10</v>
      </c>
      <c r="R10">
        <v>3</v>
      </c>
      <c r="S10">
        <v>5</v>
      </c>
      <c r="AC10">
        <v>9</v>
      </c>
      <c r="AD10" s="2" t="s">
        <v>102</v>
      </c>
      <c r="AE10" s="2" t="s">
        <v>103</v>
      </c>
      <c r="AF10" t="s">
        <v>104</v>
      </c>
      <c r="AG10" t="s">
        <v>36</v>
      </c>
      <c r="AH10" s="1">
        <v>45200</v>
      </c>
      <c r="AK10" t="s">
        <v>48</v>
      </c>
      <c r="AL10">
        <v>5</v>
      </c>
      <c r="AM10">
        <v>15</v>
      </c>
    </row>
    <row r="11" spans="1:44" x14ac:dyDescent="0.25">
      <c r="L11">
        <v>3</v>
      </c>
      <c r="M11" t="s">
        <v>16</v>
      </c>
      <c r="N11">
        <v>4</v>
      </c>
      <c r="P11" t="s">
        <v>28</v>
      </c>
      <c r="Q11">
        <v>10</v>
      </c>
      <c r="R11">
        <v>3</v>
      </c>
      <c r="S11">
        <v>5</v>
      </c>
      <c r="AC11">
        <v>10</v>
      </c>
      <c r="AD11" s="2" t="s">
        <v>105</v>
      </c>
      <c r="AE11" s="2" t="s">
        <v>106</v>
      </c>
      <c r="AF11" t="s">
        <v>107</v>
      </c>
      <c r="AG11" t="s">
        <v>36</v>
      </c>
      <c r="AH11" s="1">
        <v>45170</v>
      </c>
      <c r="AK11" t="s">
        <v>49</v>
      </c>
      <c r="AL11">
        <v>5</v>
      </c>
      <c r="AM11">
        <v>9</v>
      </c>
    </row>
    <row r="12" spans="1:44" x14ac:dyDescent="0.25">
      <c r="L12">
        <v>4</v>
      </c>
      <c r="M12" t="s">
        <v>42</v>
      </c>
      <c r="N12">
        <v>1</v>
      </c>
      <c r="P12" t="s">
        <v>28</v>
      </c>
      <c r="Q12">
        <v>25</v>
      </c>
      <c r="R12">
        <v>1</v>
      </c>
      <c r="S12">
        <v>5</v>
      </c>
      <c r="AC12">
        <v>11</v>
      </c>
      <c r="AD12" s="2" t="s">
        <v>110</v>
      </c>
      <c r="AE12" s="2" t="s">
        <v>108</v>
      </c>
      <c r="AF12" s="15" t="s">
        <v>109</v>
      </c>
      <c r="AG12" t="s">
        <v>37</v>
      </c>
      <c r="AH12" s="1">
        <v>45261</v>
      </c>
      <c r="AK12" t="s">
        <v>49</v>
      </c>
      <c r="AL12">
        <v>4</v>
      </c>
      <c r="AM12">
        <v>9</v>
      </c>
    </row>
    <row r="13" spans="1:44" x14ac:dyDescent="0.25">
      <c r="L13">
        <v>4</v>
      </c>
      <c r="M13" t="s">
        <v>42</v>
      </c>
      <c r="N13">
        <v>2</v>
      </c>
      <c r="P13" t="s">
        <v>28</v>
      </c>
      <c r="Q13">
        <v>25</v>
      </c>
      <c r="R13">
        <v>1</v>
      </c>
      <c r="S13">
        <v>5</v>
      </c>
      <c r="AC13">
        <v>12</v>
      </c>
      <c r="AD13" s="2" t="s">
        <v>111</v>
      </c>
      <c r="AE13" s="2" t="s">
        <v>112</v>
      </c>
      <c r="AF13" t="s">
        <v>113</v>
      </c>
      <c r="AG13" t="s">
        <v>36</v>
      </c>
      <c r="AH13" s="1">
        <v>44927</v>
      </c>
      <c r="AK13" t="s">
        <v>50</v>
      </c>
      <c r="AL13">
        <v>5</v>
      </c>
      <c r="AM13">
        <v>15</v>
      </c>
    </row>
    <row r="14" spans="1:44" x14ac:dyDescent="0.25">
      <c r="L14">
        <v>4</v>
      </c>
      <c r="M14" t="s">
        <v>42</v>
      </c>
      <c r="N14">
        <v>3</v>
      </c>
      <c r="P14" t="s">
        <v>28</v>
      </c>
      <c r="Q14">
        <v>25</v>
      </c>
      <c r="R14">
        <v>1</v>
      </c>
      <c r="S14">
        <v>5</v>
      </c>
      <c r="AK14" t="s">
        <v>50</v>
      </c>
      <c r="AL14">
        <v>4</v>
      </c>
      <c r="AM14">
        <v>15</v>
      </c>
    </row>
    <row r="15" spans="1:44" x14ac:dyDescent="0.25">
      <c r="L15">
        <v>4</v>
      </c>
      <c r="M15" t="s">
        <v>42</v>
      </c>
      <c r="N15">
        <v>4</v>
      </c>
      <c r="P15" t="s">
        <v>28</v>
      </c>
      <c r="Q15">
        <v>25</v>
      </c>
      <c r="R15">
        <v>1</v>
      </c>
      <c r="S15">
        <v>5</v>
      </c>
      <c r="AK15" t="s">
        <v>50</v>
      </c>
      <c r="AL15">
        <v>3</v>
      </c>
      <c r="AM15">
        <v>15</v>
      </c>
    </row>
    <row r="16" spans="1:44" x14ac:dyDescent="0.25">
      <c r="L16">
        <v>4</v>
      </c>
      <c r="M16" t="s">
        <v>42</v>
      </c>
      <c r="N16">
        <v>5</v>
      </c>
      <c r="P16" t="s">
        <v>28</v>
      </c>
      <c r="Q16">
        <v>25</v>
      </c>
      <c r="R16">
        <v>1</v>
      </c>
      <c r="S16">
        <v>5</v>
      </c>
      <c r="AK16" t="s">
        <v>51</v>
      </c>
      <c r="AL16">
        <v>5</v>
      </c>
      <c r="AM16">
        <v>9</v>
      </c>
    </row>
    <row r="17" spans="12:39" x14ac:dyDescent="0.25">
      <c r="L17">
        <v>5</v>
      </c>
      <c r="M17" t="s">
        <v>46</v>
      </c>
      <c r="N17">
        <v>2</v>
      </c>
      <c r="P17" t="s">
        <v>28</v>
      </c>
      <c r="Q17">
        <v>10</v>
      </c>
      <c r="R17">
        <v>2</v>
      </c>
      <c r="S17">
        <v>5</v>
      </c>
      <c r="AK17" t="s">
        <v>51</v>
      </c>
      <c r="AL17">
        <v>4</v>
      </c>
      <c r="AM17">
        <v>9</v>
      </c>
    </row>
    <row r="18" spans="12:39" x14ac:dyDescent="0.25">
      <c r="L18">
        <v>5</v>
      </c>
      <c r="M18" t="s">
        <v>46</v>
      </c>
      <c r="N18">
        <v>3</v>
      </c>
      <c r="P18" t="s">
        <v>28</v>
      </c>
      <c r="Q18">
        <v>10</v>
      </c>
      <c r="R18">
        <v>2</v>
      </c>
      <c r="S18">
        <v>5</v>
      </c>
      <c r="AK18" t="s">
        <v>31</v>
      </c>
      <c r="AL18">
        <v>3</v>
      </c>
      <c r="AM18">
        <v>15</v>
      </c>
    </row>
    <row r="19" spans="12:39" x14ac:dyDescent="0.25">
      <c r="L19">
        <v>5</v>
      </c>
      <c r="M19" t="s">
        <v>46</v>
      </c>
      <c r="N19">
        <v>4</v>
      </c>
      <c r="P19" t="s">
        <v>28</v>
      </c>
      <c r="Q19">
        <v>10</v>
      </c>
      <c r="R19">
        <v>2</v>
      </c>
      <c r="S19">
        <v>5</v>
      </c>
      <c r="AK19" t="s">
        <v>31</v>
      </c>
      <c r="AL19">
        <v>4</v>
      </c>
      <c r="AM19">
        <v>15</v>
      </c>
    </row>
    <row r="20" spans="12:39" x14ac:dyDescent="0.25">
      <c r="L20">
        <v>6</v>
      </c>
      <c r="M20" t="s">
        <v>47</v>
      </c>
      <c r="N20">
        <v>1</v>
      </c>
      <c r="O20">
        <v>1</v>
      </c>
      <c r="P20" t="s">
        <v>28</v>
      </c>
      <c r="Q20">
        <v>10</v>
      </c>
      <c r="R20">
        <v>2</v>
      </c>
      <c r="S20">
        <v>5</v>
      </c>
      <c r="AK20" t="s">
        <v>52</v>
      </c>
      <c r="AL20">
        <v>1</v>
      </c>
      <c r="AM20">
        <v>25</v>
      </c>
    </row>
    <row r="21" spans="12:39" x14ac:dyDescent="0.25">
      <c r="L21">
        <v>6</v>
      </c>
      <c r="M21" t="s">
        <v>47</v>
      </c>
      <c r="N21">
        <v>2</v>
      </c>
      <c r="O21">
        <v>2</v>
      </c>
      <c r="P21" t="s">
        <v>28</v>
      </c>
      <c r="Q21">
        <v>10</v>
      </c>
      <c r="R21">
        <v>2</v>
      </c>
      <c r="S21">
        <v>5</v>
      </c>
      <c r="AK21" t="s">
        <v>52</v>
      </c>
      <c r="AL21">
        <v>2</v>
      </c>
      <c r="AM21">
        <v>25</v>
      </c>
    </row>
    <row r="22" spans="12:39" x14ac:dyDescent="0.25">
      <c r="L22">
        <v>6</v>
      </c>
      <c r="M22" t="s">
        <v>47</v>
      </c>
      <c r="N22">
        <v>3</v>
      </c>
      <c r="P22" t="s">
        <v>28</v>
      </c>
      <c r="Q22">
        <v>10</v>
      </c>
      <c r="R22">
        <v>2</v>
      </c>
      <c r="S22">
        <v>5</v>
      </c>
      <c r="AK22" t="s">
        <v>52</v>
      </c>
      <c r="AL22">
        <v>3</v>
      </c>
      <c r="AM22">
        <v>25</v>
      </c>
    </row>
    <row r="23" spans="12:39" x14ac:dyDescent="0.25">
      <c r="L23">
        <v>6</v>
      </c>
      <c r="M23" t="s">
        <v>47</v>
      </c>
      <c r="N23">
        <v>4</v>
      </c>
      <c r="P23" t="s">
        <v>28</v>
      </c>
      <c r="Q23">
        <v>10</v>
      </c>
      <c r="R23">
        <v>2</v>
      </c>
      <c r="S23">
        <v>5</v>
      </c>
      <c r="AK23" t="s">
        <v>52</v>
      </c>
      <c r="AL23">
        <v>4</v>
      </c>
      <c r="AM23">
        <v>25</v>
      </c>
    </row>
    <row r="24" spans="12:39" x14ac:dyDescent="0.25">
      <c r="L24">
        <v>7</v>
      </c>
      <c r="M24" t="s">
        <v>54</v>
      </c>
      <c r="N24">
        <v>1</v>
      </c>
      <c r="O24">
        <v>2</v>
      </c>
      <c r="P24" t="s">
        <v>28</v>
      </c>
      <c r="Q24">
        <v>2</v>
      </c>
      <c r="R24">
        <v>1</v>
      </c>
      <c r="S24">
        <v>4</v>
      </c>
      <c r="AK24" t="s">
        <v>52</v>
      </c>
      <c r="AL24">
        <v>5</v>
      </c>
      <c r="AM24">
        <v>25</v>
      </c>
    </row>
    <row r="25" spans="12:39" x14ac:dyDescent="0.25">
      <c r="L25">
        <v>7</v>
      </c>
      <c r="M25" t="s">
        <v>54</v>
      </c>
      <c r="N25">
        <v>2</v>
      </c>
      <c r="O25">
        <v>2</v>
      </c>
      <c r="P25" t="s">
        <v>28</v>
      </c>
      <c r="Q25">
        <v>2</v>
      </c>
      <c r="R25">
        <v>1</v>
      </c>
      <c r="S25">
        <v>4</v>
      </c>
      <c r="AK25" t="s">
        <v>53</v>
      </c>
      <c r="AL25">
        <v>2</v>
      </c>
      <c r="AM25">
        <v>15</v>
      </c>
    </row>
    <row r="26" spans="12:39" x14ac:dyDescent="0.25">
      <c r="L26">
        <v>8</v>
      </c>
      <c r="M26" t="s">
        <v>56</v>
      </c>
      <c r="N26">
        <v>1</v>
      </c>
      <c r="P26" t="s">
        <v>117</v>
      </c>
      <c r="Q26">
        <v>15</v>
      </c>
      <c r="R26">
        <v>4</v>
      </c>
      <c r="S26">
        <v>4</v>
      </c>
      <c r="AK26" t="s">
        <v>53</v>
      </c>
      <c r="AL26">
        <v>4</v>
      </c>
      <c r="AM26">
        <v>15</v>
      </c>
    </row>
    <row r="27" spans="12:39" x14ac:dyDescent="0.25">
      <c r="L27">
        <v>8</v>
      </c>
      <c r="M27" t="s">
        <v>56</v>
      </c>
      <c r="N27">
        <v>2</v>
      </c>
      <c r="P27" t="s">
        <v>117</v>
      </c>
      <c r="Q27">
        <v>15</v>
      </c>
      <c r="R27">
        <v>4</v>
      </c>
      <c r="S27">
        <v>4</v>
      </c>
      <c r="AK27" t="s">
        <v>53</v>
      </c>
      <c r="AL27">
        <v>5</v>
      </c>
      <c r="AM27">
        <v>15</v>
      </c>
    </row>
    <row r="28" spans="12:39" x14ac:dyDescent="0.25">
      <c r="L28">
        <v>8</v>
      </c>
      <c r="M28" t="s">
        <v>56</v>
      </c>
      <c r="N28">
        <v>3</v>
      </c>
      <c r="P28" t="s">
        <v>117</v>
      </c>
      <c r="Q28">
        <v>15</v>
      </c>
      <c r="R28">
        <v>4</v>
      </c>
      <c r="S28">
        <v>4</v>
      </c>
      <c r="AK28" t="s">
        <v>31</v>
      </c>
      <c r="AL28">
        <v>1</v>
      </c>
      <c r="AM28">
        <v>15</v>
      </c>
    </row>
    <row r="29" spans="12:39" x14ac:dyDescent="0.25">
      <c r="L29">
        <v>8</v>
      </c>
      <c r="M29" t="s">
        <v>56</v>
      </c>
      <c r="N29">
        <v>4</v>
      </c>
      <c r="P29" t="s">
        <v>117</v>
      </c>
      <c r="Q29">
        <v>15</v>
      </c>
      <c r="R29">
        <v>4</v>
      </c>
      <c r="S29">
        <v>4</v>
      </c>
    </row>
    <row r="30" spans="12:39" x14ac:dyDescent="0.25">
      <c r="L30">
        <v>8</v>
      </c>
      <c r="M30" t="s">
        <v>56</v>
      </c>
      <c r="N30">
        <v>5</v>
      </c>
      <c r="P30" t="s">
        <v>117</v>
      </c>
      <c r="Q30">
        <v>15</v>
      </c>
      <c r="R30">
        <v>4</v>
      </c>
      <c r="S30">
        <v>4</v>
      </c>
    </row>
    <row r="31" spans="12:39" x14ac:dyDescent="0.25">
      <c r="L31">
        <v>9</v>
      </c>
      <c r="M31" t="s">
        <v>57</v>
      </c>
      <c r="N31">
        <v>1</v>
      </c>
      <c r="P31" t="s">
        <v>117</v>
      </c>
      <c r="Q31">
        <v>20</v>
      </c>
      <c r="R31">
        <v>4</v>
      </c>
      <c r="S31">
        <v>4</v>
      </c>
    </row>
    <row r="32" spans="12:39" x14ac:dyDescent="0.25">
      <c r="L32">
        <v>9</v>
      </c>
      <c r="M32" t="s">
        <v>57</v>
      </c>
      <c r="N32">
        <v>2</v>
      </c>
      <c r="P32" t="s">
        <v>117</v>
      </c>
      <c r="Q32">
        <v>20</v>
      </c>
      <c r="R32">
        <v>4</v>
      </c>
      <c r="S32">
        <v>4</v>
      </c>
    </row>
    <row r="33" spans="12:19" x14ac:dyDescent="0.25">
      <c r="L33">
        <v>9</v>
      </c>
      <c r="M33" t="s">
        <v>57</v>
      </c>
      <c r="N33">
        <v>1</v>
      </c>
      <c r="P33" t="s">
        <v>117</v>
      </c>
      <c r="Q33">
        <v>20</v>
      </c>
      <c r="R33">
        <v>4</v>
      </c>
      <c r="S33">
        <v>4</v>
      </c>
    </row>
    <row r="34" spans="12:19" x14ac:dyDescent="0.25">
      <c r="L34">
        <v>9</v>
      </c>
      <c r="M34" t="s">
        <v>57</v>
      </c>
      <c r="N34">
        <v>2</v>
      </c>
      <c r="P34" t="s">
        <v>117</v>
      </c>
      <c r="Q34">
        <v>20</v>
      </c>
      <c r="R34">
        <v>4</v>
      </c>
      <c r="S34">
        <v>4</v>
      </c>
    </row>
    <row r="35" spans="12:19" x14ac:dyDescent="0.25">
      <c r="L35">
        <v>9</v>
      </c>
      <c r="M35" t="s">
        <v>57</v>
      </c>
      <c r="N35">
        <v>3</v>
      </c>
      <c r="P35" t="s">
        <v>117</v>
      </c>
      <c r="Q35">
        <v>20</v>
      </c>
      <c r="R35">
        <v>4</v>
      </c>
      <c r="S35">
        <v>4</v>
      </c>
    </row>
    <row r="36" spans="12:19" x14ac:dyDescent="0.25">
      <c r="L36">
        <v>9</v>
      </c>
      <c r="M36" t="s">
        <v>57</v>
      </c>
      <c r="N36">
        <v>4</v>
      </c>
      <c r="P36" t="s">
        <v>117</v>
      </c>
      <c r="Q36">
        <v>20</v>
      </c>
      <c r="R36">
        <v>4</v>
      </c>
      <c r="S36">
        <v>4</v>
      </c>
    </row>
    <row r="37" spans="12:19" x14ac:dyDescent="0.25">
      <c r="L37">
        <v>9</v>
      </c>
      <c r="M37" t="s">
        <v>57</v>
      </c>
      <c r="N37">
        <v>5</v>
      </c>
      <c r="P37" t="s">
        <v>117</v>
      </c>
      <c r="Q37">
        <v>20</v>
      </c>
      <c r="R37">
        <v>4</v>
      </c>
      <c r="S37">
        <v>4</v>
      </c>
    </row>
    <row r="38" spans="12:19" x14ac:dyDescent="0.25">
      <c r="L38">
        <v>10</v>
      </c>
      <c r="M38" t="s">
        <v>58</v>
      </c>
      <c r="N38">
        <v>4</v>
      </c>
      <c r="P38" t="s">
        <v>28</v>
      </c>
      <c r="Q38">
        <v>5</v>
      </c>
      <c r="R38">
        <v>5</v>
      </c>
      <c r="S38">
        <v>3</v>
      </c>
    </row>
    <row r="39" spans="12:19" x14ac:dyDescent="0.25">
      <c r="L39">
        <v>10</v>
      </c>
      <c r="M39" t="s">
        <v>58</v>
      </c>
      <c r="N39">
        <v>5</v>
      </c>
      <c r="P39" t="s">
        <v>28</v>
      </c>
      <c r="Q39">
        <v>5</v>
      </c>
      <c r="R39">
        <v>5</v>
      </c>
      <c r="S39">
        <v>3</v>
      </c>
    </row>
    <row r="40" spans="12:19" x14ac:dyDescent="0.25">
      <c r="L40">
        <v>11</v>
      </c>
      <c r="M40" t="s">
        <v>60</v>
      </c>
      <c r="N40">
        <v>3</v>
      </c>
      <c r="P40" t="s">
        <v>28</v>
      </c>
      <c r="Q40">
        <v>2</v>
      </c>
      <c r="R40">
        <v>5</v>
      </c>
      <c r="S40">
        <v>3</v>
      </c>
    </row>
    <row r="41" spans="12:19" x14ac:dyDescent="0.25">
      <c r="L41">
        <v>12</v>
      </c>
      <c r="M41" t="s">
        <v>61</v>
      </c>
      <c r="N41">
        <v>3</v>
      </c>
      <c r="P41" t="s">
        <v>28</v>
      </c>
      <c r="Q41">
        <v>2</v>
      </c>
      <c r="R41">
        <v>5</v>
      </c>
      <c r="S41">
        <v>3</v>
      </c>
    </row>
    <row r="42" spans="12:19" x14ac:dyDescent="0.25">
      <c r="L42">
        <v>13</v>
      </c>
      <c r="M42" t="s">
        <v>62</v>
      </c>
      <c r="N42">
        <v>3</v>
      </c>
      <c r="P42" t="s">
        <v>28</v>
      </c>
      <c r="Q42">
        <v>2</v>
      </c>
      <c r="R42">
        <v>5</v>
      </c>
      <c r="S42">
        <v>4</v>
      </c>
    </row>
    <row r="43" spans="12:19" x14ac:dyDescent="0.25">
      <c r="L43">
        <v>14</v>
      </c>
      <c r="M43" t="s">
        <v>63</v>
      </c>
      <c r="N43">
        <v>1</v>
      </c>
      <c r="P43" t="s">
        <v>117</v>
      </c>
      <c r="Q43">
        <v>15</v>
      </c>
      <c r="R43">
        <v>6</v>
      </c>
      <c r="S43">
        <v>4</v>
      </c>
    </row>
    <row r="44" spans="12:19" x14ac:dyDescent="0.25">
      <c r="L44">
        <v>14</v>
      </c>
      <c r="M44" t="s">
        <v>63</v>
      </c>
      <c r="N44">
        <v>2</v>
      </c>
      <c r="P44" t="s">
        <v>117</v>
      </c>
      <c r="Q44">
        <v>15</v>
      </c>
      <c r="R44">
        <v>6</v>
      </c>
      <c r="S44">
        <v>4</v>
      </c>
    </row>
    <row r="45" spans="12:19" x14ac:dyDescent="0.25">
      <c r="L45">
        <v>14</v>
      </c>
      <c r="M45" t="s">
        <v>63</v>
      </c>
      <c r="N45">
        <v>3</v>
      </c>
      <c r="P45" t="s">
        <v>117</v>
      </c>
      <c r="Q45">
        <v>15</v>
      </c>
      <c r="R45">
        <v>6</v>
      </c>
      <c r="S45">
        <v>4</v>
      </c>
    </row>
    <row r="46" spans="12:19" x14ac:dyDescent="0.25">
      <c r="L46">
        <v>14</v>
      </c>
      <c r="M46" t="s">
        <v>63</v>
      </c>
      <c r="N46">
        <v>4</v>
      </c>
      <c r="P46" t="s">
        <v>117</v>
      </c>
      <c r="Q46">
        <v>15</v>
      </c>
      <c r="R46">
        <v>6</v>
      </c>
      <c r="S46">
        <v>4</v>
      </c>
    </row>
    <row r="47" spans="12:19" x14ac:dyDescent="0.25">
      <c r="L47">
        <v>14</v>
      </c>
      <c r="M47" t="s">
        <v>63</v>
      </c>
      <c r="N47">
        <v>5</v>
      </c>
      <c r="P47" t="s">
        <v>117</v>
      </c>
      <c r="Q47">
        <v>15</v>
      </c>
      <c r="R47">
        <v>6</v>
      </c>
      <c r="S47">
        <v>4</v>
      </c>
    </row>
    <row r="48" spans="12:19" x14ac:dyDescent="0.25">
      <c r="L48">
        <v>15</v>
      </c>
      <c r="M48" t="s">
        <v>127</v>
      </c>
      <c r="N48">
        <v>1</v>
      </c>
      <c r="P48" t="s">
        <v>117</v>
      </c>
      <c r="Q48">
        <v>10</v>
      </c>
      <c r="R48">
        <v>6</v>
      </c>
      <c r="S48">
        <v>3</v>
      </c>
    </row>
    <row r="49" spans="12:19" x14ac:dyDescent="0.25">
      <c r="L49">
        <v>15</v>
      </c>
      <c r="M49" t="s">
        <v>127</v>
      </c>
      <c r="N49">
        <v>2</v>
      </c>
      <c r="P49" t="s">
        <v>117</v>
      </c>
      <c r="Q49">
        <v>10</v>
      </c>
      <c r="R49">
        <v>6</v>
      </c>
      <c r="S49">
        <v>3</v>
      </c>
    </row>
    <row r="50" spans="12:19" x14ac:dyDescent="0.25">
      <c r="L50">
        <v>15</v>
      </c>
      <c r="M50" t="s">
        <v>127</v>
      </c>
      <c r="N50">
        <v>3</v>
      </c>
      <c r="P50" t="s">
        <v>117</v>
      </c>
      <c r="Q50">
        <v>10</v>
      </c>
      <c r="R50">
        <v>6</v>
      </c>
      <c r="S50">
        <v>3</v>
      </c>
    </row>
    <row r="51" spans="12:19" x14ac:dyDescent="0.25">
      <c r="L51">
        <v>15</v>
      </c>
      <c r="M51" t="s">
        <v>127</v>
      </c>
      <c r="N51">
        <v>4</v>
      </c>
      <c r="P51" t="s">
        <v>117</v>
      </c>
      <c r="Q51">
        <v>10</v>
      </c>
      <c r="R51">
        <v>6</v>
      </c>
      <c r="S51">
        <v>3</v>
      </c>
    </row>
    <row r="52" spans="12:19" x14ac:dyDescent="0.25">
      <c r="L52">
        <v>16</v>
      </c>
      <c r="M52" t="s">
        <v>71</v>
      </c>
      <c r="N52">
        <v>2</v>
      </c>
      <c r="P52" t="s">
        <v>117</v>
      </c>
      <c r="Q52">
        <v>2</v>
      </c>
      <c r="R52">
        <v>7</v>
      </c>
      <c r="S52">
        <v>3</v>
      </c>
    </row>
    <row r="53" spans="12:19" x14ac:dyDescent="0.25">
      <c r="L53">
        <v>17</v>
      </c>
      <c r="M53" t="s">
        <v>70</v>
      </c>
      <c r="N53">
        <v>1</v>
      </c>
      <c r="P53" t="s">
        <v>117</v>
      </c>
      <c r="Q53">
        <v>8</v>
      </c>
      <c r="R53">
        <v>7</v>
      </c>
      <c r="S53">
        <v>3</v>
      </c>
    </row>
    <row r="54" spans="12:19" x14ac:dyDescent="0.25">
      <c r="L54">
        <v>17</v>
      </c>
      <c r="M54" t="s">
        <v>70</v>
      </c>
      <c r="N54">
        <v>3</v>
      </c>
      <c r="P54" t="s">
        <v>117</v>
      </c>
      <c r="Q54">
        <v>8</v>
      </c>
      <c r="R54">
        <v>7</v>
      </c>
      <c r="S54">
        <v>3</v>
      </c>
    </row>
    <row r="55" spans="12:19" x14ac:dyDescent="0.25">
      <c r="L55">
        <v>17</v>
      </c>
      <c r="M55" t="s">
        <v>70</v>
      </c>
      <c r="N55">
        <v>4</v>
      </c>
      <c r="P55" t="s">
        <v>117</v>
      </c>
      <c r="Q55">
        <v>8</v>
      </c>
      <c r="R55">
        <v>7</v>
      </c>
      <c r="S55">
        <v>3</v>
      </c>
    </row>
    <row r="56" spans="12:19" x14ac:dyDescent="0.25">
      <c r="L56">
        <v>18</v>
      </c>
      <c r="M56" t="s">
        <v>72</v>
      </c>
      <c r="N56">
        <v>2</v>
      </c>
      <c r="P56" t="s">
        <v>28</v>
      </c>
      <c r="Q56">
        <v>2</v>
      </c>
      <c r="R56">
        <v>1</v>
      </c>
      <c r="S56">
        <v>2</v>
      </c>
    </row>
    <row r="57" spans="12:19" x14ac:dyDescent="0.25">
      <c r="L57">
        <v>19</v>
      </c>
      <c r="M57" t="s">
        <v>73</v>
      </c>
      <c r="N57">
        <v>1</v>
      </c>
      <c r="P57" t="s">
        <v>28</v>
      </c>
      <c r="Q57">
        <v>1</v>
      </c>
      <c r="R57">
        <v>1</v>
      </c>
      <c r="S57">
        <v>2</v>
      </c>
    </row>
    <row r="58" spans="12:19" x14ac:dyDescent="0.25">
      <c r="L58">
        <v>20</v>
      </c>
      <c r="M58" t="s">
        <v>74</v>
      </c>
      <c r="N58">
        <v>2</v>
      </c>
      <c r="P58" t="s">
        <v>28</v>
      </c>
      <c r="Q58">
        <v>5</v>
      </c>
      <c r="R58">
        <v>8</v>
      </c>
      <c r="S58">
        <v>3</v>
      </c>
    </row>
    <row r="59" spans="12:19" x14ac:dyDescent="0.25">
      <c r="L59">
        <v>20</v>
      </c>
      <c r="M59" t="s">
        <v>74</v>
      </c>
      <c r="N59">
        <v>3</v>
      </c>
      <c r="P59" t="s">
        <v>28</v>
      </c>
      <c r="Q59">
        <v>5</v>
      </c>
      <c r="R59">
        <v>8</v>
      </c>
      <c r="S59">
        <v>3</v>
      </c>
    </row>
    <row r="60" spans="12:19" x14ac:dyDescent="0.25">
      <c r="L60">
        <v>20</v>
      </c>
      <c r="M60" t="s">
        <v>74</v>
      </c>
      <c r="N60">
        <v>4</v>
      </c>
      <c r="P60" t="s">
        <v>28</v>
      </c>
      <c r="Q60">
        <v>5</v>
      </c>
      <c r="R60">
        <v>8</v>
      </c>
      <c r="S60">
        <v>3</v>
      </c>
    </row>
    <row r="61" spans="12:19" x14ac:dyDescent="0.25">
      <c r="L61">
        <v>21</v>
      </c>
      <c r="M61" t="s">
        <v>75</v>
      </c>
      <c r="N61">
        <v>1</v>
      </c>
      <c r="P61" t="s">
        <v>28</v>
      </c>
      <c r="Q61">
        <v>15</v>
      </c>
      <c r="R61">
        <v>8</v>
      </c>
      <c r="S61">
        <v>4</v>
      </c>
    </row>
    <row r="62" spans="12:19" x14ac:dyDescent="0.25">
      <c r="L62">
        <v>21</v>
      </c>
      <c r="M62" t="s">
        <v>75</v>
      </c>
      <c r="N62">
        <v>2</v>
      </c>
      <c r="P62" t="s">
        <v>28</v>
      </c>
      <c r="Q62">
        <v>15</v>
      </c>
      <c r="R62">
        <v>8</v>
      </c>
      <c r="S62">
        <v>4</v>
      </c>
    </row>
    <row r="63" spans="12:19" x14ac:dyDescent="0.25">
      <c r="L63">
        <v>21</v>
      </c>
      <c r="M63" t="s">
        <v>75</v>
      </c>
      <c r="N63">
        <v>3</v>
      </c>
      <c r="P63" t="s">
        <v>28</v>
      </c>
      <c r="Q63">
        <v>15</v>
      </c>
      <c r="R63">
        <v>8</v>
      </c>
      <c r="S63">
        <v>4</v>
      </c>
    </row>
    <row r="64" spans="12:19" x14ac:dyDescent="0.25">
      <c r="L64">
        <v>21</v>
      </c>
      <c r="M64" t="s">
        <v>75</v>
      </c>
      <c r="N64">
        <v>4</v>
      </c>
      <c r="P64" t="s">
        <v>28</v>
      </c>
      <c r="Q64">
        <v>15</v>
      </c>
      <c r="R64">
        <v>8</v>
      </c>
      <c r="S64">
        <v>4</v>
      </c>
    </row>
    <row r="65" spans="12:19" x14ac:dyDescent="0.25">
      <c r="L65">
        <v>21</v>
      </c>
      <c r="M65" t="s">
        <v>75</v>
      </c>
      <c r="N65">
        <v>5</v>
      </c>
      <c r="P65" t="s">
        <v>28</v>
      </c>
      <c r="Q65">
        <v>15</v>
      </c>
      <c r="R65">
        <v>8</v>
      </c>
      <c r="S65">
        <v>4</v>
      </c>
    </row>
    <row r="66" spans="12:19" x14ac:dyDescent="0.25">
      <c r="L66">
        <v>22</v>
      </c>
      <c r="M66" t="s">
        <v>76</v>
      </c>
      <c r="N66">
        <v>1</v>
      </c>
      <c r="P66" t="s">
        <v>117</v>
      </c>
      <c r="Q66">
        <v>15</v>
      </c>
      <c r="R66">
        <v>6</v>
      </c>
      <c r="S66">
        <v>4</v>
      </c>
    </row>
    <row r="67" spans="12:19" x14ac:dyDescent="0.25">
      <c r="L67">
        <v>22</v>
      </c>
      <c r="M67" t="s">
        <v>76</v>
      </c>
      <c r="N67">
        <v>2</v>
      </c>
      <c r="P67" t="s">
        <v>117</v>
      </c>
      <c r="Q67">
        <v>15</v>
      </c>
      <c r="R67">
        <v>6</v>
      </c>
      <c r="S67">
        <v>4</v>
      </c>
    </row>
    <row r="68" spans="12:19" x14ac:dyDescent="0.25">
      <c r="L68">
        <v>22</v>
      </c>
      <c r="M68" t="s">
        <v>76</v>
      </c>
      <c r="N68">
        <v>3</v>
      </c>
      <c r="P68" t="s">
        <v>117</v>
      </c>
      <c r="Q68">
        <v>15</v>
      </c>
      <c r="R68">
        <v>6</v>
      </c>
      <c r="S68">
        <v>4</v>
      </c>
    </row>
    <row r="69" spans="12:19" x14ac:dyDescent="0.25">
      <c r="L69">
        <v>22</v>
      </c>
      <c r="M69" t="s">
        <v>76</v>
      </c>
      <c r="N69">
        <v>4</v>
      </c>
      <c r="P69" t="s">
        <v>117</v>
      </c>
      <c r="Q69">
        <v>15</v>
      </c>
      <c r="R69">
        <v>6</v>
      </c>
      <c r="S69">
        <v>4</v>
      </c>
    </row>
    <row r="70" spans="12:19" x14ac:dyDescent="0.25">
      <c r="L70">
        <v>22</v>
      </c>
      <c r="M70" t="s">
        <v>76</v>
      </c>
      <c r="N70">
        <v>5</v>
      </c>
      <c r="P70" t="s">
        <v>117</v>
      </c>
      <c r="Q70">
        <v>15</v>
      </c>
      <c r="R70">
        <v>6</v>
      </c>
      <c r="S70">
        <v>4</v>
      </c>
    </row>
    <row r="71" spans="12:19" x14ac:dyDescent="0.25">
      <c r="L71">
        <v>23</v>
      </c>
      <c r="M71" t="s">
        <v>77</v>
      </c>
      <c r="N71">
        <v>2</v>
      </c>
      <c r="P71" t="s">
        <v>28</v>
      </c>
      <c r="Q71">
        <v>2</v>
      </c>
      <c r="R71">
        <v>8</v>
      </c>
      <c r="S71">
        <v>2</v>
      </c>
    </row>
    <row r="72" spans="12:19" x14ac:dyDescent="0.25">
      <c r="L72">
        <v>24</v>
      </c>
      <c r="M72" t="s">
        <v>78</v>
      </c>
      <c r="N72">
        <v>1</v>
      </c>
      <c r="P72" t="s">
        <v>28</v>
      </c>
      <c r="Q72">
        <v>10</v>
      </c>
      <c r="R72">
        <v>8</v>
      </c>
      <c r="S72">
        <v>4</v>
      </c>
    </row>
    <row r="73" spans="12:19" x14ac:dyDescent="0.25">
      <c r="L73">
        <v>24</v>
      </c>
      <c r="M73" t="s">
        <v>78</v>
      </c>
      <c r="N73">
        <v>2</v>
      </c>
      <c r="P73" t="s">
        <v>28</v>
      </c>
      <c r="Q73">
        <v>10</v>
      </c>
      <c r="R73">
        <v>8</v>
      </c>
      <c r="S73">
        <v>4</v>
      </c>
    </row>
    <row r="74" spans="12:19" x14ac:dyDescent="0.25">
      <c r="L74">
        <v>24</v>
      </c>
      <c r="M74" t="s">
        <v>78</v>
      </c>
      <c r="N74">
        <v>3</v>
      </c>
      <c r="P74" t="s">
        <v>28</v>
      </c>
      <c r="Q74">
        <v>10</v>
      </c>
      <c r="R74">
        <v>8</v>
      </c>
      <c r="S74">
        <v>4</v>
      </c>
    </row>
    <row r="75" spans="12:19" x14ac:dyDescent="0.25">
      <c r="L75">
        <v>24</v>
      </c>
      <c r="M75" t="s">
        <v>78</v>
      </c>
      <c r="N75">
        <v>4</v>
      </c>
      <c r="P75" t="s">
        <v>28</v>
      </c>
      <c r="Q75">
        <v>10</v>
      </c>
      <c r="R75">
        <v>8</v>
      </c>
      <c r="S75">
        <v>4</v>
      </c>
    </row>
    <row r="76" spans="12:19" x14ac:dyDescent="0.25">
      <c r="L76">
        <v>25</v>
      </c>
      <c r="M76" t="s">
        <v>79</v>
      </c>
      <c r="N76">
        <v>1</v>
      </c>
      <c r="P76" t="s">
        <v>28</v>
      </c>
      <c r="Q76">
        <v>5</v>
      </c>
      <c r="R76">
        <v>8</v>
      </c>
      <c r="S76">
        <v>3</v>
      </c>
    </row>
    <row r="77" spans="12:19" x14ac:dyDescent="0.25">
      <c r="L77">
        <v>25</v>
      </c>
      <c r="M77" t="s">
        <v>79</v>
      </c>
      <c r="N77">
        <v>2</v>
      </c>
      <c r="P77" t="s">
        <v>28</v>
      </c>
      <c r="Q77">
        <v>5</v>
      </c>
      <c r="R77">
        <v>8</v>
      </c>
      <c r="S77">
        <v>3</v>
      </c>
    </row>
    <row r="78" spans="12:19" x14ac:dyDescent="0.25">
      <c r="L78">
        <v>25</v>
      </c>
      <c r="M78" t="s">
        <v>79</v>
      </c>
      <c r="N78">
        <v>3</v>
      </c>
      <c r="P78" t="s">
        <v>28</v>
      </c>
      <c r="Q78">
        <v>5</v>
      </c>
      <c r="R78">
        <v>8</v>
      </c>
      <c r="S78">
        <v>3</v>
      </c>
    </row>
    <row r="79" spans="12:19" x14ac:dyDescent="0.25">
      <c r="L79">
        <v>26</v>
      </c>
      <c r="M79" t="s">
        <v>114</v>
      </c>
      <c r="N79">
        <v>1</v>
      </c>
      <c r="P79" t="s">
        <v>117</v>
      </c>
      <c r="Q79">
        <v>40</v>
      </c>
      <c r="R79">
        <v>6</v>
      </c>
      <c r="S79">
        <v>5</v>
      </c>
    </row>
    <row r="80" spans="12:19" x14ac:dyDescent="0.25">
      <c r="L80">
        <v>26</v>
      </c>
      <c r="M80" t="s">
        <v>114</v>
      </c>
      <c r="N80">
        <v>2</v>
      </c>
      <c r="P80" t="s">
        <v>117</v>
      </c>
      <c r="Q80">
        <v>40</v>
      </c>
      <c r="R80">
        <v>6</v>
      </c>
      <c r="S80">
        <v>5</v>
      </c>
    </row>
    <row r="81" spans="12:19" x14ac:dyDescent="0.25">
      <c r="L81">
        <v>26</v>
      </c>
      <c r="M81" t="s">
        <v>114</v>
      </c>
      <c r="N81">
        <v>3</v>
      </c>
      <c r="P81" t="s">
        <v>117</v>
      </c>
      <c r="Q81">
        <v>40</v>
      </c>
      <c r="R81">
        <v>6</v>
      </c>
      <c r="S81">
        <v>5</v>
      </c>
    </row>
    <row r="82" spans="12:19" x14ac:dyDescent="0.25">
      <c r="L82">
        <v>26</v>
      </c>
      <c r="M82" t="s">
        <v>114</v>
      </c>
      <c r="N82">
        <v>4</v>
      </c>
      <c r="P82" t="s">
        <v>117</v>
      </c>
      <c r="Q82">
        <v>40</v>
      </c>
      <c r="R82">
        <v>6</v>
      </c>
      <c r="S82">
        <v>5</v>
      </c>
    </row>
    <row r="83" spans="12:19" x14ac:dyDescent="0.25">
      <c r="L83">
        <v>26</v>
      </c>
      <c r="M83" t="s">
        <v>114</v>
      </c>
      <c r="N83">
        <v>5</v>
      </c>
      <c r="P83" t="s">
        <v>117</v>
      </c>
      <c r="Q83">
        <v>40</v>
      </c>
      <c r="R83">
        <v>6</v>
      </c>
      <c r="S83">
        <v>5</v>
      </c>
    </row>
    <row r="84" spans="12:19" x14ac:dyDescent="0.25">
      <c r="L84">
        <v>27</v>
      </c>
      <c r="M84" t="s">
        <v>115</v>
      </c>
      <c r="N84">
        <v>1</v>
      </c>
      <c r="P84" t="s">
        <v>117</v>
      </c>
      <c r="Q84">
        <v>40</v>
      </c>
      <c r="R84">
        <v>6</v>
      </c>
      <c r="S84">
        <v>4</v>
      </c>
    </row>
    <row r="85" spans="12:19" x14ac:dyDescent="0.25">
      <c r="L85">
        <v>27</v>
      </c>
      <c r="M85" t="s">
        <v>115</v>
      </c>
      <c r="N85">
        <v>2</v>
      </c>
      <c r="P85" t="s">
        <v>117</v>
      </c>
      <c r="Q85">
        <v>40</v>
      </c>
      <c r="R85">
        <v>6</v>
      </c>
      <c r="S85">
        <v>4</v>
      </c>
    </row>
    <row r="86" spans="12:19" x14ac:dyDescent="0.25">
      <c r="L86">
        <v>27</v>
      </c>
      <c r="M86" t="s">
        <v>115</v>
      </c>
      <c r="N86">
        <v>3</v>
      </c>
      <c r="P86" t="s">
        <v>117</v>
      </c>
      <c r="Q86">
        <v>40</v>
      </c>
      <c r="R86">
        <v>6</v>
      </c>
      <c r="S86">
        <v>4</v>
      </c>
    </row>
    <row r="87" spans="12:19" x14ac:dyDescent="0.25">
      <c r="L87">
        <v>27</v>
      </c>
      <c r="M87" t="s">
        <v>115</v>
      </c>
      <c r="N87">
        <v>4</v>
      </c>
      <c r="P87" t="s">
        <v>117</v>
      </c>
      <c r="Q87">
        <v>40</v>
      </c>
      <c r="R87">
        <v>6</v>
      </c>
      <c r="S87">
        <v>4</v>
      </c>
    </row>
    <row r="88" spans="12:19" x14ac:dyDescent="0.25">
      <c r="L88">
        <v>27</v>
      </c>
      <c r="M88" t="s">
        <v>115</v>
      </c>
      <c r="N88">
        <v>5</v>
      </c>
      <c r="P88" t="s">
        <v>117</v>
      </c>
      <c r="Q88">
        <v>40</v>
      </c>
      <c r="R88">
        <v>6</v>
      </c>
      <c r="S88">
        <v>4</v>
      </c>
    </row>
    <row r="89" spans="12:19" x14ac:dyDescent="0.25">
      <c r="L89">
        <v>28</v>
      </c>
      <c r="M89" t="s">
        <v>116</v>
      </c>
      <c r="N89">
        <v>1</v>
      </c>
      <c r="P89" t="s">
        <v>117</v>
      </c>
      <c r="Q89">
        <v>40</v>
      </c>
      <c r="R89">
        <v>6</v>
      </c>
      <c r="S89">
        <v>5</v>
      </c>
    </row>
    <row r="90" spans="12:19" x14ac:dyDescent="0.25">
      <c r="L90">
        <v>28</v>
      </c>
      <c r="M90" t="s">
        <v>116</v>
      </c>
      <c r="N90">
        <v>2</v>
      </c>
      <c r="P90" t="s">
        <v>117</v>
      </c>
      <c r="Q90">
        <v>40</v>
      </c>
      <c r="R90">
        <v>6</v>
      </c>
      <c r="S90">
        <v>5</v>
      </c>
    </row>
    <row r="91" spans="12:19" x14ac:dyDescent="0.25">
      <c r="L91">
        <v>28</v>
      </c>
      <c r="M91" t="s">
        <v>116</v>
      </c>
      <c r="N91">
        <v>3</v>
      </c>
      <c r="P91" t="s">
        <v>117</v>
      </c>
      <c r="Q91">
        <v>40</v>
      </c>
      <c r="R91">
        <v>6</v>
      </c>
      <c r="S91">
        <v>5</v>
      </c>
    </row>
    <row r="92" spans="12:19" x14ac:dyDescent="0.25">
      <c r="L92">
        <v>28</v>
      </c>
      <c r="M92" t="s">
        <v>116</v>
      </c>
      <c r="N92">
        <v>4</v>
      </c>
      <c r="P92" t="s">
        <v>117</v>
      </c>
      <c r="Q92">
        <v>40</v>
      </c>
      <c r="R92">
        <v>6</v>
      </c>
      <c r="S92">
        <v>5</v>
      </c>
    </row>
    <row r="93" spans="12:19" x14ac:dyDescent="0.25">
      <c r="L93">
        <v>28</v>
      </c>
      <c r="M93" t="s">
        <v>116</v>
      </c>
      <c r="N93">
        <v>5</v>
      </c>
      <c r="P93" t="s">
        <v>117</v>
      </c>
      <c r="Q93">
        <v>40</v>
      </c>
      <c r="R93">
        <v>6</v>
      </c>
      <c r="S93">
        <v>5</v>
      </c>
    </row>
    <row r="94" spans="12:19" x14ac:dyDescent="0.25">
      <c r="L94">
        <v>29</v>
      </c>
      <c r="M94" t="s">
        <v>118</v>
      </c>
      <c r="N94">
        <v>2</v>
      </c>
      <c r="P94" t="s">
        <v>28</v>
      </c>
      <c r="Q94">
        <v>2</v>
      </c>
      <c r="R94">
        <v>1</v>
      </c>
      <c r="S94">
        <v>3</v>
      </c>
    </row>
    <row r="95" spans="12:19" x14ac:dyDescent="0.25">
      <c r="L95">
        <v>30</v>
      </c>
      <c r="M95" t="s">
        <v>119</v>
      </c>
      <c r="N95">
        <v>2</v>
      </c>
      <c r="P95" t="s">
        <v>28</v>
      </c>
      <c r="Q95">
        <v>5</v>
      </c>
      <c r="R95">
        <v>1</v>
      </c>
      <c r="S95">
        <v>4</v>
      </c>
    </row>
    <row r="96" spans="12:19" x14ac:dyDescent="0.25">
      <c r="L96">
        <v>30</v>
      </c>
      <c r="M96" t="s">
        <v>119</v>
      </c>
      <c r="N96">
        <v>1</v>
      </c>
      <c r="P96" t="s">
        <v>28</v>
      </c>
      <c r="Q96">
        <v>5</v>
      </c>
      <c r="R96">
        <v>1</v>
      </c>
      <c r="S96">
        <v>4</v>
      </c>
    </row>
    <row r="97" spans="12:19" x14ac:dyDescent="0.25">
      <c r="L97">
        <v>30</v>
      </c>
      <c r="M97" t="s">
        <v>119</v>
      </c>
      <c r="N97">
        <v>3</v>
      </c>
      <c r="P97" t="s">
        <v>28</v>
      </c>
      <c r="Q97">
        <v>5</v>
      </c>
      <c r="R97">
        <v>1</v>
      </c>
      <c r="S97">
        <v>4</v>
      </c>
    </row>
    <row r="98" spans="12:19" x14ac:dyDescent="0.25">
      <c r="L98">
        <v>31</v>
      </c>
      <c r="M98" t="s">
        <v>120</v>
      </c>
      <c r="N98">
        <v>1</v>
      </c>
      <c r="P98" t="s">
        <v>28</v>
      </c>
      <c r="Q98">
        <v>10</v>
      </c>
      <c r="R98">
        <v>5</v>
      </c>
      <c r="S98">
        <v>4</v>
      </c>
    </row>
    <row r="99" spans="12:19" x14ac:dyDescent="0.25">
      <c r="L99">
        <v>31</v>
      </c>
      <c r="M99" t="s">
        <v>120</v>
      </c>
      <c r="N99">
        <v>2</v>
      </c>
      <c r="P99" t="s">
        <v>28</v>
      </c>
      <c r="Q99">
        <v>10</v>
      </c>
      <c r="R99">
        <v>5</v>
      </c>
      <c r="S99">
        <v>4</v>
      </c>
    </row>
    <row r="100" spans="12:19" x14ac:dyDescent="0.25">
      <c r="L100">
        <v>31</v>
      </c>
      <c r="M100" t="s">
        <v>120</v>
      </c>
      <c r="N100">
        <v>3</v>
      </c>
      <c r="P100" t="s">
        <v>28</v>
      </c>
      <c r="Q100">
        <v>10</v>
      </c>
      <c r="R100">
        <v>5</v>
      </c>
      <c r="S100">
        <v>4</v>
      </c>
    </row>
    <row r="101" spans="12:19" x14ac:dyDescent="0.25">
      <c r="L101">
        <v>31</v>
      </c>
      <c r="M101" t="s">
        <v>120</v>
      </c>
      <c r="N101">
        <v>4</v>
      </c>
      <c r="P101" t="s">
        <v>28</v>
      </c>
      <c r="Q101">
        <v>10</v>
      </c>
      <c r="R101">
        <v>5</v>
      </c>
      <c r="S101">
        <v>4</v>
      </c>
    </row>
  </sheetData>
  <hyperlinks>
    <hyperlink ref="AE4" r:id="rId1" xr:uid="{E65D6F2D-12C5-4B06-8B9A-1EB502122EBD}"/>
    <hyperlink ref="AE5" r:id="rId2" xr:uid="{3A560FC1-538D-441E-990A-C7BE3C8FFF6C}"/>
    <hyperlink ref="AF7" r:id="rId3" xr:uid="{577E5A9D-2C9E-4825-B79A-B153F50AF25A}"/>
    <hyperlink ref="AF6" r:id="rId4" xr:uid="{2DE32EB2-B9AF-4B73-A727-6CD2331D95E0}"/>
    <hyperlink ref="AF12" r:id="rId5" xr:uid="{B1503F59-CC5C-4CD3-ACCE-A2E979EDF0FD}"/>
    <hyperlink ref="AP2" r:id="rId6" xr:uid="{C509A470-D8C3-45BA-B8AD-5CDC5324E6D9}"/>
    <hyperlink ref="AQ4" r:id="rId7" xr:uid="{E0A61176-C9F1-471F-B32F-EB2C36F62C3D}"/>
    <hyperlink ref="AQ5" r:id="rId8" xr:uid="{3EA6C2C9-9DEC-40E1-B5F8-4B07250EC293}"/>
    <hyperlink ref="AP5" r:id="rId9" xr:uid="{BC6C9C20-7E05-4916-9F2C-BC7EF9357C57}"/>
    <hyperlink ref="AP6" r:id="rId10" xr:uid="{280A69AE-A5FB-40ED-A555-C9B073501EB5}"/>
  </hyperlinks>
  <pageMargins left="0.7" right="0.7" top="0.75" bottom="0.75" header="0.3" footer="0.3"/>
  <tableParts count="6"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Moss</dc:creator>
  <cp:lastModifiedBy>Jeremy Moss</cp:lastModifiedBy>
  <dcterms:created xsi:type="dcterms:W3CDTF">2025-11-09T04:54:04Z</dcterms:created>
  <dcterms:modified xsi:type="dcterms:W3CDTF">2025-11-26T02:16:23Z</dcterms:modified>
</cp:coreProperties>
</file>